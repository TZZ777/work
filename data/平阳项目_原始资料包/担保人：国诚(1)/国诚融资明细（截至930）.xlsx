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Kong\瑞银\项目\浙江\温州\平阳\担保人：国诚\"/>
    </mc:Choice>
  </mc:AlternateContent>
  <xr:revisionPtr revIDLastSave="0" documentId="13_ncr:1_{6736D8F7-F170-4B2D-8B6C-D870DD527C7B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国诚" sheetId="6" r:id="rId1"/>
    <sheet name="Sheet2" sheetId="2" r:id="rId2"/>
  </sheets>
  <definedNames>
    <definedName name="_xlnm._FilterDatabase" localSheetId="0" hidden="1">国诚!$A$3:$H$375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6" i="6" l="1"/>
  <c r="E43" i="6"/>
  <c r="E37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294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提前还款2025.09.25
</t>
        </r>
      </text>
    </comment>
    <comment ref="G295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提前还款2025.09.25
</t>
        </r>
      </text>
    </comment>
    <comment ref="G296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提前还款2025.09.25
</t>
        </r>
      </text>
    </comment>
    <comment ref="F332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1.5亿授信 第二批放款
</t>
        </r>
      </text>
    </comment>
  </commentList>
</comments>
</file>

<file path=xl/sharedStrings.xml><?xml version="1.0" encoding="utf-8"?>
<sst xmlns="http://schemas.openxmlformats.org/spreadsheetml/2006/main" count="1774" uniqueCount="734">
  <si>
    <t>平阳县融资情况月报表</t>
  </si>
  <si>
    <t>单位名称</t>
  </si>
  <si>
    <t>融资形式</t>
  </si>
  <si>
    <t>合作金融机构</t>
  </si>
  <si>
    <t>授信额度</t>
  </si>
  <si>
    <t>本月累计余额</t>
  </si>
  <si>
    <t>平阳县昆阳新农村建设投资有限公司</t>
  </si>
  <si>
    <t>昆阳主城区绿色停车项目</t>
  </si>
  <si>
    <t>项目贷款</t>
  </si>
  <si>
    <t>中国农业发展银行瑞安支行</t>
  </si>
  <si>
    <t>2023年4月-2042年3月</t>
  </si>
  <si>
    <t>19年</t>
  </si>
  <si>
    <t>/</t>
  </si>
  <si>
    <t>融资租赁</t>
  </si>
  <si>
    <t>宁波银行(永赢租赁）</t>
  </si>
  <si>
    <t>2023年9月-2026年9月</t>
  </si>
  <si>
    <t>3年</t>
  </si>
  <si>
    <t>浙江国金融资租赁有限公司</t>
  </si>
  <si>
    <t>2024年4月-2027年4月</t>
  </si>
  <si>
    <t>流动资金贷款</t>
  </si>
  <si>
    <t>温州银行昆阳支行</t>
  </si>
  <si>
    <t>2024年6月-2026年6月</t>
  </si>
  <si>
    <t>2年</t>
  </si>
  <si>
    <t>绍兴银行股份有限公司温州平阳小微综合支行</t>
  </si>
  <si>
    <t>2024年12月-2025年12月</t>
  </si>
  <si>
    <t>1年</t>
  </si>
  <si>
    <t>金华银行股份有限公司温州分行</t>
  </si>
  <si>
    <t>2025年6月-2027年6月</t>
  </si>
  <si>
    <t>天津乾美融资租赁有限公司</t>
  </si>
  <si>
    <t>2025年8月-2035年8月</t>
  </si>
  <si>
    <t>10年</t>
  </si>
  <si>
    <t>福建海峡融资租赁有限责任公司</t>
  </si>
  <si>
    <t>2025年9月-2028年9月</t>
  </si>
  <si>
    <t>平阳县交通投资集团矿业有限公司</t>
  </si>
  <si>
    <t>光大银行瑞安支行流动资金贷款项目</t>
  </si>
  <si>
    <t>银行直接贷款</t>
  </si>
  <si>
    <t>光大银行瑞安支行</t>
  </si>
  <si>
    <t>2025.4.7-2025.10.7</t>
  </si>
  <si>
    <t>绍兴银行温州分行流动资金贷款项目</t>
  </si>
  <si>
    <t>绍兴银行温州分行</t>
  </si>
  <si>
    <t>2024.9.25-2025.10.25</t>
  </si>
  <si>
    <t>农业银行昆阳支行项目贷款项目</t>
  </si>
  <si>
    <t>农业银行昆阳支行</t>
  </si>
  <si>
    <t>2022.10.1-2028.9.25</t>
  </si>
  <si>
    <t>福建海峡银行股份有限公司温州瑞安支行流动资金贷款项目</t>
  </si>
  <si>
    <t>福建海峡银行股份有限公司温州瑞安支行</t>
  </si>
  <si>
    <t>2023.4.28-2026.4.28</t>
  </si>
  <si>
    <t>湖北金融租赁股份有限公司融资租赁项目</t>
  </si>
  <si>
    <t>湖北金融租赁股份有限公司</t>
  </si>
  <si>
    <t>2024.9.11-2027.9.12</t>
  </si>
  <si>
    <t>宁波银行平阳支行流动资金贷款项目</t>
  </si>
  <si>
    <t>宁波银行平阳支行</t>
  </si>
  <si>
    <t>2024.9.13-2026.3.1</t>
  </si>
  <si>
    <t>金华银行温州分行流动资金贷款项目</t>
  </si>
  <si>
    <t>金华银行温州分行</t>
  </si>
  <si>
    <t>2024.10.14-2025.12.10</t>
  </si>
  <si>
    <t>农业银行昆阳支行流动资金贷款项目</t>
  </si>
  <si>
    <t>2024.10.9-2025.10.7</t>
  </si>
  <si>
    <t>2024.12.18-2025.12.17</t>
  </si>
  <si>
    <t>海通恒信国际融资租赁股份有限公司融资租赁项目</t>
  </si>
  <si>
    <t>海通恒信国际融资租赁股份有限公司</t>
  </si>
  <si>
    <t>2024.12.13-2027.12.13</t>
  </si>
  <si>
    <t>邦银金融租赁股份有限公司融资租赁项目</t>
  </si>
  <si>
    <t>邦银金融租赁股份有限公司</t>
  </si>
  <si>
    <t>2024.12.25-2029.12.25</t>
  </si>
  <si>
    <t>皖江金融租赁股份有限公司融资租赁项目</t>
  </si>
  <si>
    <t>皖江金融租赁股份有限公司</t>
  </si>
  <si>
    <t>2025.2.25-2028.2.25</t>
  </si>
  <si>
    <t>稠州银行鳌江支行流动资金贷款项目</t>
  </si>
  <si>
    <t>稠州银行鳌江支行</t>
  </si>
  <si>
    <t>2025.04.28-2026.05.20</t>
  </si>
  <si>
    <t>浙江海洋租赁股份有限公司融资租赁项目</t>
  </si>
  <si>
    <t>浙江海洋租赁股份有限公司</t>
  </si>
  <si>
    <t>2025.9.29-2028.9.28</t>
  </si>
  <si>
    <t>平阳县萧江新农村建设投资有限公司</t>
  </si>
  <si>
    <t>平阳萧江美丽城镇项目</t>
  </si>
  <si>
    <t>农行平阳县支行</t>
  </si>
  <si>
    <t>2020年1月-2034年1月</t>
  </si>
  <si>
    <t>14年</t>
  </si>
  <si>
    <t>平阳县萧江镇共同富裕项目一期</t>
  </si>
  <si>
    <t>固定资产贷款</t>
  </si>
  <si>
    <t>农发行瑞安市支行</t>
  </si>
  <si>
    <t>2022年8月-2042年8月</t>
  </si>
  <si>
    <t>20年</t>
  </si>
  <si>
    <t>平阳县萧江镇凤头B-15、B-25地块安置房建设</t>
  </si>
  <si>
    <t>中国银行平阳县支行</t>
  </si>
  <si>
    <t>2022年12月-2028年12月</t>
  </si>
  <si>
    <t>6年</t>
  </si>
  <si>
    <t>总部经济大楼建设</t>
  </si>
  <si>
    <t>平阳农商行肖江支行</t>
  </si>
  <si>
    <t>2022年12月-2027年12月</t>
  </si>
  <si>
    <t>5年</t>
  </si>
  <si>
    <t>萧江镇全域土地综合整治工程</t>
  </si>
  <si>
    <t>2024年3月-2044年3月</t>
  </si>
  <si>
    <t>萧江镇四大屋地段B10地块项目回购</t>
  </si>
  <si>
    <t>工商银行平阳支行</t>
  </si>
  <si>
    <t>2024年4月-2029年4月</t>
  </si>
  <si>
    <t>平阳县萧江镇“千万工程”示范先行项目（一期）</t>
  </si>
  <si>
    <t>2025年2月-2045年2月</t>
  </si>
  <si>
    <t>平阳县创新小微园投资有限公司</t>
  </si>
  <si>
    <t>萧江镇四大屋安置房项目</t>
  </si>
  <si>
    <t>2020年8月-2027年8月</t>
  </si>
  <si>
    <t>7年</t>
  </si>
  <si>
    <t>用于小微园日常运营需要</t>
  </si>
  <si>
    <t>2025年6月-2026年6月</t>
  </si>
  <si>
    <t>平阳县萧江镇智能包装产业园有机更新项目</t>
  </si>
  <si>
    <t>2023年5月-2048年5月</t>
  </si>
  <si>
    <t>25年</t>
  </si>
  <si>
    <t>平阳县鳌江新农村建设投资有限公司</t>
  </si>
  <si>
    <t>美丽城镇项目一期</t>
  </si>
  <si>
    <t>农业银行平阳支行</t>
  </si>
  <si>
    <t>20200120-20390119</t>
  </si>
  <si>
    <t>永赢金融租赁有限公司</t>
  </si>
  <si>
    <t>20210820-20260820</t>
  </si>
  <si>
    <t>蓝田三期建设项目</t>
  </si>
  <si>
    <t>20211101-20261101</t>
  </si>
  <si>
    <t>疏港大道延伸段供水设施等</t>
  </si>
  <si>
    <t>广州越秀融资租赁有限公司</t>
  </si>
  <si>
    <t>20220629-20270701</t>
  </si>
  <si>
    <t>蓝田、下埕小区物业贷</t>
  </si>
  <si>
    <t>经营性物业贷</t>
  </si>
  <si>
    <t>20230111-20400111</t>
  </si>
  <si>
    <t>17年</t>
  </si>
  <si>
    <t>平阳县新鳌城市建设有限公司</t>
  </si>
  <si>
    <t>2016棚户区改造</t>
  </si>
  <si>
    <t>农发行温州分行</t>
  </si>
  <si>
    <t>20160912-20340911</t>
  </si>
  <si>
    <t>18年</t>
  </si>
  <si>
    <t>交通银行温州分行</t>
  </si>
  <si>
    <t>2017棚改一期</t>
  </si>
  <si>
    <t>国开行浙江省分行</t>
  </si>
  <si>
    <t>20170504-20420503</t>
  </si>
  <si>
    <t>工行平阳支行</t>
  </si>
  <si>
    <t>新明村、环溪村等15村全域整治</t>
  </si>
  <si>
    <t>建设银行平阳支行</t>
  </si>
  <si>
    <t>20200717-20300117</t>
  </si>
  <si>
    <t>长江租赁公司</t>
  </si>
  <si>
    <t>20200902-20250902</t>
  </si>
  <si>
    <t>人居环境安置房建设</t>
  </si>
  <si>
    <t>20201010-20271009</t>
  </si>
  <si>
    <t>共同富裕项目一期</t>
  </si>
  <si>
    <t>农发行瑞安支行</t>
  </si>
  <si>
    <t>20211019-20411018</t>
  </si>
  <si>
    <t>滨江片、平河片、站前区安置</t>
  </si>
  <si>
    <t>杭州银行温州分行</t>
  </si>
  <si>
    <t>20220105-20251229</t>
  </si>
  <si>
    <t>共同富裕项目二期</t>
  </si>
  <si>
    <t>20220118-20420117</t>
  </si>
  <si>
    <t>城西片全域整治项目</t>
  </si>
  <si>
    <t>20220428-20311027</t>
  </si>
  <si>
    <t>9年</t>
  </si>
  <si>
    <t>浙江省空港融资租赁有限公司</t>
  </si>
  <si>
    <t>20220628-20270627</t>
  </si>
  <si>
    <t>浙江杭钢融资租赁有限公司</t>
  </si>
  <si>
    <t>20220826-20270826</t>
  </si>
  <si>
    <t>智慧停车及平台项目</t>
  </si>
  <si>
    <t>20221115-20321115</t>
  </si>
  <si>
    <t>保障性租赁用房项目（一期）</t>
  </si>
  <si>
    <t>20221231-20441230</t>
  </si>
  <si>
    <t>22年</t>
  </si>
  <si>
    <t>环溪村安置房项目</t>
  </si>
  <si>
    <t>中国银行平阳支行</t>
  </si>
  <si>
    <t>20230118-20290118</t>
  </si>
  <si>
    <t>九叠河二期物业贷</t>
  </si>
  <si>
    <t>温州民商银行股份有限公司</t>
  </si>
  <si>
    <t>20230403-20260403</t>
  </si>
  <si>
    <t>滨江中心D-03-01地块（翡翠滨江）</t>
  </si>
  <si>
    <t>华融金融租赁有限公司</t>
  </si>
  <si>
    <t>20230612-20280612</t>
  </si>
  <si>
    <t>上海银行股份有限公司瑞安支行</t>
  </si>
  <si>
    <t>20230629-20290530</t>
  </si>
  <si>
    <t>平阳县农商行</t>
  </si>
  <si>
    <t>20240119-20270118</t>
  </si>
  <si>
    <t>平阳农商行</t>
  </si>
  <si>
    <t>20240712-20270710</t>
  </si>
  <si>
    <t>兴业银行瑞安支行</t>
  </si>
  <si>
    <t>20250214-20260213</t>
  </si>
  <si>
    <t>平阳县城市建设投资有限公司</t>
  </si>
  <si>
    <t>工程款</t>
  </si>
  <si>
    <t>华融金融租赁股份有限公司</t>
  </si>
  <si>
    <t>5年(2020.9-2025.9)</t>
  </si>
  <si>
    <t>平阳县全域土地整治和生态修复项目</t>
  </si>
  <si>
    <t>中国工商银行股份有限公司平阳支行</t>
  </si>
  <si>
    <t>9年（2020.4-2028.4）</t>
  </si>
  <si>
    <t>平阳县吴垟村、雁山村及兴民村等47村土地综合整治和生态修复工程</t>
  </si>
  <si>
    <t>8年（2020.3-2028.4）</t>
  </si>
  <si>
    <t>平阳县昆阳镇城东KYCD-11地块G15地块安置房</t>
  </si>
  <si>
    <t>3年（2022.3-2025.3）</t>
  </si>
  <si>
    <t>平阳县时尚创意产业基地建设项目一期</t>
  </si>
  <si>
    <t>20年（2022.6-2042.6）</t>
  </si>
  <si>
    <t>并购贷款</t>
  </si>
  <si>
    <t>中国民生银行股份有限公司温州分行</t>
  </si>
  <si>
    <t>7年（2022.6.30-2028.12.20）</t>
  </si>
  <si>
    <t>中国银行股份有限公司平阳县支行</t>
  </si>
  <si>
    <t>20年（2022.7.28-2042.7.27）</t>
  </si>
  <si>
    <t>平阳县共同富裕项目（一期）</t>
  </si>
  <si>
    <t>中国农业发展银行瑞安市支行</t>
  </si>
  <si>
    <t>20年（2022.8.25-2042.8.22）</t>
  </si>
  <si>
    <t>浙商银行流贷</t>
  </si>
  <si>
    <t>浙商银行平阳支行</t>
  </si>
  <si>
    <t>13个月（2025.3.18-2026.4.11）</t>
  </si>
  <si>
    <t>杭州银行流贷</t>
  </si>
  <si>
    <t>杭州银行瑞安支行</t>
  </si>
  <si>
    <t>2年（2023.11.10-2025.11.09）</t>
  </si>
  <si>
    <t>采砂权并购贷</t>
  </si>
  <si>
    <t>兴业银行温州瑞安支行</t>
  </si>
  <si>
    <t>5年（2022.12.30-2027.12.30）</t>
  </si>
  <si>
    <t>平阳县青少年营学基地项目</t>
  </si>
  <si>
    <t>中信银行温州分行</t>
  </si>
  <si>
    <t>13年（2023.02.21-2036.02.13）</t>
  </si>
  <si>
    <t>平阳县时尚创意产业基地建设项目一期拆迁款</t>
  </si>
  <si>
    <t>5年（2023.03.15-2028.03.14）</t>
  </si>
  <si>
    <t>平阳县城市建设投资有限公司2023年面向专业投资者非公开发行公司债券（第一期）</t>
  </si>
  <si>
    <t>公司债</t>
  </si>
  <si>
    <t>3年（2023.03.29-2026.03.29）</t>
  </si>
  <si>
    <t>平阳县坡南历史文化街区保护提升与旅游开发项目</t>
  </si>
  <si>
    <t>20年（2023.04.01-2043.03.12）</t>
  </si>
  <si>
    <t>平阳县城市建设投资有限公司2023年面向专业投资者非公开发行公司债券（第二期）</t>
  </si>
  <si>
    <t>3年（2023.06.13-2026.06.13）</t>
  </si>
  <si>
    <t>平安银行流贷</t>
  </si>
  <si>
    <t>平安银行温州分行</t>
  </si>
  <si>
    <t>1年（2025.06.26-2026.06.23）</t>
  </si>
  <si>
    <t>中国光大银行股份有限公司温州瑞安支行</t>
  </si>
  <si>
    <t>5.5年（2023.06.30-2028.12.20）</t>
  </si>
  <si>
    <t>浙商银行（商票）</t>
  </si>
  <si>
    <t>商业承兑汇票贴现</t>
  </si>
  <si>
    <t>6个月（2025.04.27-2025.10.27）</t>
  </si>
  <si>
    <t>平阳县城市建设投资有限公司2024年面向专业投资者非公开发行公司债券（第一期）24平城01</t>
  </si>
  <si>
    <t>3年（2024.01.26-2027.01.26）</t>
  </si>
  <si>
    <t>杭州银行保理融资（云e融）</t>
  </si>
  <si>
    <t>保理融资</t>
  </si>
  <si>
    <t>1年（2024.02.01-2025.01.24）</t>
  </si>
  <si>
    <t>经营性物业贷款</t>
  </si>
  <si>
    <t>10年（2024.06.27-2034.05.15）</t>
  </si>
  <si>
    <t>平阳县城市建设投资有限公司2024年度第一期定向债务融资工具（24平阳城投PPN001）</t>
  </si>
  <si>
    <t>PPN</t>
  </si>
  <si>
    <t>3年（2024.07.19-2027.07.18）</t>
  </si>
  <si>
    <t>上信-睿宁18号信托贷款集合资金信托计划</t>
  </si>
  <si>
    <t>信托贷款</t>
  </si>
  <si>
    <t>上海国际信托有限公司（宁波银行）</t>
  </si>
  <si>
    <t>13个月（2024.9.26-2025.10.10）</t>
  </si>
  <si>
    <t>平阳县青少年营学基地项目（民生银行）</t>
  </si>
  <si>
    <t>11年（2024.12.06-2035.12.06）</t>
  </si>
  <si>
    <t>华鑫信托-鑫苏1059号集合资金信托计划</t>
  </si>
  <si>
    <t>华鑫国际信托有限公司（华夏银行）</t>
  </si>
  <si>
    <t>1年（2024.12.11-2025.12.11）</t>
  </si>
  <si>
    <t>渤海信托-2024乾嘉18号集合资金信托计划</t>
  </si>
  <si>
    <t>渤海国际信托股份有限公司（宁波通商银行）</t>
  </si>
  <si>
    <t>2年（2024.12.23-2026.12.23）</t>
  </si>
  <si>
    <t>平阳县昆鳌协同区B-04-02-01地块项目回购</t>
  </si>
  <si>
    <t>5年（2025.01.03-2029.12.15）</t>
  </si>
  <si>
    <t>1年（2024.05.21-2026.01.05）</t>
  </si>
  <si>
    <t>重庆鈊渝融资租赁</t>
  </si>
  <si>
    <t>重庆鈊渝金融租赁股份有限公司</t>
  </si>
  <si>
    <t>5年（2025.01.14-2030.01.31）</t>
  </si>
  <si>
    <t>光大兴陇信托-光信·光鑫·浙兴金悦 10 号集合资金信托计
划</t>
  </si>
  <si>
    <t>光大兴陇信托有限公司（杭州银行）</t>
  </si>
  <si>
    <t>1年（2025.02.14-2026.02.23）</t>
  </si>
  <si>
    <t>平安国际融资租赁</t>
  </si>
  <si>
    <t>平安国际融资租赁有限公司</t>
  </si>
  <si>
    <t>3年（2025.03.10-2028.03.10）</t>
  </si>
  <si>
    <t>平阳县青少年营学基地项目（绍兴银行）</t>
  </si>
  <si>
    <t>绍兴银行温州分行（平阳小微综合支行）</t>
  </si>
  <si>
    <t>11年（2025.03.20-2036.11.20）</t>
  </si>
  <si>
    <t>宁波银行（商票）</t>
  </si>
  <si>
    <t>宁波银行温州平阳支行</t>
  </si>
  <si>
    <t>6个月（2025.03.27-2025.09.27）</t>
  </si>
  <si>
    <t>6个月（2025.09.24-2026.03.24）</t>
  </si>
  <si>
    <t>厦门信托-鹭满钱江平阳城投集合资金信托计划</t>
  </si>
  <si>
    <t>厦门国际信托有限公司（华夏银行）</t>
  </si>
  <si>
    <t>1年（2025.05.22-2026.05.22）</t>
  </si>
  <si>
    <t>福建海峡银行流贷</t>
  </si>
  <si>
    <t>福建海峡银行温州分行</t>
  </si>
  <si>
    <t>3年（2025.06.13-2028.06.13）</t>
  </si>
  <si>
    <t>宁波银行流贷</t>
  </si>
  <si>
    <t>1年（2025.06.20-2026.06.20）</t>
  </si>
  <si>
    <t>平阳县青少年营学基地项目（浦发银行）</t>
  </si>
  <si>
    <t>浦发银行温州分行</t>
  </si>
  <si>
    <t>11年（2025.06.20-2036.06.20）</t>
  </si>
  <si>
    <t>徽银金融租赁</t>
  </si>
  <si>
    <t>徽银金融租赁有限公司</t>
  </si>
  <si>
    <t>5年（2025.06.20-2030.06.20）</t>
  </si>
  <si>
    <t>邦银金融租赁</t>
  </si>
  <si>
    <t>5年（2025.06.24-2030.06.24）</t>
  </si>
  <si>
    <t>永赢金融租赁</t>
  </si>
  <si>
    <t>10年（2025.06.25-2035.06.25）</t>
  </si>
  <si>
    <t>平阳县坡南历史文化街区保护提升与旅游开发项目（农行）</t>
  </si>
  <si>
    <t>20年（2025.05.30-2045.03.08）</t>
  </si>
  <si>
    <t>江苏银行流贷</t>
  </si>
  <si>
    <t>江苏银行杭州分行</t>
  </si>
  <si>
    <t>1年（2025.07.02-2027.07.01）</t>
  </si>
  <si>
    <t>1年（2025.8.28-2026.8.27）</t>
  </si>
  <si>
    <t>平阳县城东新区开发建设有限公司</t>
  </si>
  <si>
    <t>平阳县昆阳镇2017年度棚户区（城中村）改造一期项目</t>
  </si>
  <si>
    <t>国家开发银行股份有限公司</t>
  </si>
  <si>
    <t>25年（2017.5-2042.5)</t>
  </si>
  <si>
    <t>平阳县坡南文旅发展有限公司</t>
  </si>
  <si>
    <t>中国银行流贷</t>
  </si>
  <si>
    <t>1年（2025.03.20-2026.03.20）</t>
  </si>
  <si>
    <t>平阳城市中心区开发建设有限公司</t>
  </si>
  <si>
    <t>温州银行流贷</t>
  </si>
  <si>
    <t>温州银行平阳支行</t>
  </si>
  <si>
    <t>1年（2024.12.27-2025.12.25）</t>
  </si>
  <si>
    <t>1年（2024.09.29-2025.09.29）</t>
  </si>
  <si>
    <t>1年（2025.09.16-2026.09.16）</t>
  </si>
  <si>
    <t>光大银行流贷</t>
  </si>
  <si>
    <t>中国光大银行股份有限公司温州分行</t>
  </si>
  <si>
    <t>1年（2025.01.26-2026.01.25）</t>
  </si>
  <si>
    <t>平阳县城发城市运营管理有限公司</t>
  </si>
  <si>
    <t>平阳农商银行流贷</t>
  </si>
  <si>
    <t>平阳农商银行昆阳支行</t>
  </si>
  <si>
    <t>3个月（2024.12.27-2025.03.20）</t>
  </si>
  <si>
    <t>浦发银行流贷</t>
  </si>
  <si>
    <t>浦发银行温州永嘉支行</t>
  </si>
  <si>
    <t>1年（2025.02.28-2026.02.28）</t>
  </si>
  <si>
    <t>平阳县屿城房地产开发有限公司</t>
  </si>
  <si>
    <t>平阳县鳌江镇平河片F-R21-14地块建设项目</t>
  </si>
  <si>
    <t>56个月（2024.11.20-2029.05.31）</t>
  </si>
  <si>
    <t>平阳县鳌江镇滨江片F-08-01地块建设项目</t>
  </si>
  <si>
    <t>5年（2025.07.29-2030.07.28）</t>
  </si>
  <si>
    <t>平阳县交通投资集团有限公司</t>
  </si>
  <si>
    <t>日常经营</t>
  </si>
  <si>
    <t>工商银行平阳县支行</t>
  </si>
  <si>
    <t>2021.9-2036.9</t>
  </si>
  <si>
    <t>鳌江综合功能服务站</t>
  </si>
  <si>
    <t>城乡一体化项目贷款</t>
  </si>
  <si>
    <t>2021.10-2036.10</t>
  </si>
  <si>
    <t>还本付息</t>
  </si>
  <si>
    <t>2022.01-2037.01</t>
  </si>
  <si>
    <t>联合租赁</t>
  </si>
  <si>
    <t>中交融资租赁（广州）有限公司</t>
  </si>
  <si>
    <t>2023.01-2026.01</t>
  </si>
  <si>
    <t>温州民商银行</t>
  </si>
  <si>
    <t>2023.05-2026.05</t>
  </si>
  <si>
    <t>招商局融资租赁有限公司</t>
  </si>
  <si>
    <t>2023.06-2026.06</t>
  </si>
  <si>
    <t>综合功能服务站</t>
  </si>
  <si>
    <t>2023.10-2026.10</t>
  </si>
  <si>
    <t>恒丰银行温州分行</t>
  </si>
  <si>
    <t>2023.12-2026.12</t>
  </si>
  <si>
    <t>2025.05-2026.05</t>
  </si>
  <si>
    <t>温州银行</t>
  </si>
  <si>
    <t>2024.09-2027.09</t>
  </si>
  <si>
    <t>河北省金融租赁有限公司</t>
  </si>
  <si>
    <t>2024.12-2027.12</t>
  </si>
  <si>
    <t>浙江国金融资租赁股份有限公司</t>
  </si>
  <si>
    <t>绍兴银行平阳支行</t>
  </si>
  <si>
    <t>2024.12-2026.01</t>
  </si>
  <si>
    <t>建设银行</t>
  </si>
  <si>
    <t>2025.02-2026.02</t>
  </si>
  <si>
    <t>贵阳贵银金融租赁有限公司</t>
  </si>
  <si>
    <t>2025.02-2028.02</t>
  </si>
  <si>
    <t>农商银行</t>
  </si>
  <si>
    <t>2025.06-2025.12</t>
  </si>
  <si>
    <t>农业银行</t>
  </si>
  <si>
    <t>2025.07-2026.07</t>
  </si>
  <si>
    <t>平阳县交通投资集团港口开发有限公司</t>
  </si>
  <si>
    <t>上海银行</t>
  </si>
  <si>
    <t>2024.12-2025.12</t>
  </si>
  <si>
    <t>海峡银行温州分行</t>
  </si>
  <si>
    <t>光大银行</t>
  </si>
  <si>
    <t>2024.08-2025.08</t>
  </si>
  <si>
    <t>2025.03-2026.03</t>
  </si>
  <si>
    <t>北京银行</t>
  </si>
  <si>
    <t>2025.06-2026.06</t>
  </si>
  <si>
    <t>2025.08-2026.02</t>
  </si>
  <si>
    <t>平阳县交通投资集团公共自行车服务有限公司</t>
  </si>
  <si>
    <t>平阳县远大公路养护有限公司</t>
  </si>
  <si>
    <t>恒丰银行瑞安分行</t>
  </si>
  <si>
    <t>2024.09-2025.09</t>
  </si>
  <si>
    <t>2025.02-2025.09</t>
  </si>
  <si>
    <t>平阳县国新综合能源有限公司</t>
  </si>
  <si>
    <t>2025.04-2026.05</t>
  </si>
  <si>
    <t>2025.07-2030.07</t>
  </si>
  <si>
    <t>平阳县交发控股有限公司</t>
  </si>
  <si>
    <t>平阳县农村商业银行昆阳支行</t>
  </si>
  <si>
    <t>2023.09-2025.09</t>
  </si>
  <si>
    <t>2023.09-2026.09</t>
  </si>
  <si>
    <t>厦门信托</t>
  </si>
  <si>
    <t>2024.07-2025.08</t>
  </si>
  <si>
    <t>福建海峡银行</t>
  </si>
  <si>
    <t>2024.10-2027.10</t>
  </si>
  <si>
    <t>2025.01-2028.01</t>
  </si>
  <si>
    <t>浙商银行温州平阳支行</t>
  </si>
  <si>
    <t>2024.10-2025.10</t>
  </si>
  <si>
    <t>商票</t>
  </si>
  <si>
    <t>2025.04-2025.10</t>
  </si>
  <si>
    <t>稠州金融租赁</t>
  </si>
  <si>
    <t>2024.11-2029.11</t>
  </si>
  <si>
    <t>浙江浙商融资租赁有限公司</t>
  </si>
  <si>
    <t>浙江越秀融资租赁有限公司</t>
  </si>
  <si>
    <t>安徽国元信托有限责任公司</t>
  </si>
  <si>
    <t>2025.01-2026.01</t>
  </si>
  <si>
    <t>北方国际信托股份有限公司</t>
  </si>
  <si>
    <t>中建投信托股份有限公司</t>
  </si>
  <si>
    <t>2025.01-2026.06</t>
  </si>
  <si>
    <t>2025.09-2026.09</t>
  </si>
  <si>
    <t>宁波通商银行镇海支行</t>
  </si>
  <si>
    <t>华鑫国际信托</t>
  </si>
  <si>
    <t>冀银金融租赁有限公司</t>
  </si>
  <si>
    <t>2025.03-2028.03</t>
  </si>
  <si>
    <t>2025.03-2025.09</t>
  </si>
  <si>
    <t>2025.09-2026.02</t>
  </si>
  <si>
    <t>财通融资租赁（天津）有限公司</t>
  </si>
  <si>
    <t>2025.04-2026.04</t>
  </si>
  <si>
    <t>光大兴陇信托</t>
  </si>
  <si>
    <t>2025.05-2026.08</t>
  </si>
  <si>
    <t>2025.08-2026.08</t>
  </si>
  <si>
    <t>平阳县国创交通工程勘察设计有限公司</t>
  </si>
  <si>
    <t>上海银行瑞安支行</t>
  </si>
  <si>
    <t>浙江萌宠岛投资有限公司</t>
  </si>
  <si>
    <t>水头镇西北片A-13-1地块安置房项目</t>
  </si>
  <si>
    <t>银行直接放款</t>
  </si>
  <si>
    <t>平阳县农业银行水头支行</t>
  </si>
  <si>
    <t>全域土地整治及修复项目</t>
  </si>
  <si>
    <t>平阳县农行水头支行</t>
  </si>
  <si>
    <t>2020年9月-2028年3月</t>
  </si>
  <si>
    <t>小南岛安置房项目</t>
  </si>
  <si>
    <t>2021.12月-2027.12月</t>
  </si>
  <si>
    <t>防洪工程安置房项目</t>
  </si>
  <si>
    <t>平阳县中行水头支行</t>
  </si>
  <si>
    <t>2021.7月-2026.12月</t>
  </si>
  <si>
    <t>水头镇科创园一期及市政配套工程</t>
  </si>
  <si>
    <t>2021.12月-2039.12月</t>
  </si>
  <si>
    <t>流贷</t>
  </si>
  <si>
    <t>2022.5月-2025.5月</t>
  </si>
  <si>
    <t>章岙安置房项目</t>
  </si>
  <si>
    <t>2022.12月-2028.6月</t>
  </si>
  <si>
    <t>水头镇老旧厂房有机更新项目（一期）</t>
  </si>
  <si>
    <t>2023.5月-2046.12月</t>
  </si>
  <si>
    <t>2024.1月-2043.12月</t>
  </si>
  <si>
    <t>温州银行直接放款</t>
  </si>
  <si>
    <t>2024.6月-2026.6月</t>
  </si>
  <si>
    <t>租赁公司直接放款</t>
  </si>
  <si>
    <t>浙江稠州金融租赁有限公司</t>
  </si>
  <si>
    <t>2025年1月-2028年12月</t>
  </si>
  <si>
    <t>宁波银行</t>
  </si>
  <si>
    <t>2024年10月-2029年10月</t>
  </si>
  <si>
    <t>宁波通商银行</t>
  </si>
  <si>
    <t>2025年1月-2026年1月</t>
  </si>
  <si>
    <t>稠州银行</t>
  </si>
  <si>
    <t>2024年12月-2026年1月</t>
  </si>
  <si>
    <t>哈银金融租赁有限责任公司</t>
  </si>
  <si>
    <t>2025年1月-2028年1月</t>
  </si>
  <si>
    <t>2025年3月-2028年3月</t>
  </si>
  <si>
    <t>无锡财通租赁有限公司</t>
  </si>
  <si>
    <t>2025年4月-2028年4月</t>
  </si>
  <si>
    <t>平阳县水头镇改善农村人居环境建设工程(一期)</t>
  </si>
  <si>
    <t>2028年1月-2040年1月</t>
  </si>
  <si>
    <t>小南岛项目</t>
  </si>
  <si>
    <t>上海浦东发展银行温州五马支行</t>
  </si>
  <si>
    <t>2025年7月-2028年6月</t>
  </si>
  <si>
    <t>2025年10月-2028年7月</t>
  </si>
  <si>
    <t>广发银行股份有限公司温州平阳支行</t>
  </si>
  <si>
    <t>2025年8月-2027年8月</t>
  </si>
  <si>
    <t>平阳县水头新农村建设投资有限公司</t>
  </si>
  <si>
    <t>平阳县水头镇绿色智慧停车项目</t>
  </si>
  <si>
    <t>民生银行温州分行</t>
  </si>
  <si>
    <t>2024年1月-2042年12月</t>
  </si>
  <si>
    <t>绍兴银行</t>
  </si>
  <si>
    <t>浙江省富浙融资租赁有限公司</t>
  </si>
  <si>
    <t>2024年1月-2029年12月</t>
  </si>
  <si>
    <t>平阳县万全新农村建设投资有限公司</t>
  </si>
  <si>
    <t>平阳农商银行万全支行</t>
  </si>
  <si>
    <t>2024.11.15-2025.11.11</t>
  </si>
  <si>
    <t>平阳县万全新农村建设投资投资公司</t>
  </si>
  <si>
    <t>万全镇改善人居环境安置房项目（一期</t>
  </si>
  <si>
    <t>固定资金贷款</t>
  </si>
  <si>
    <t>中国农业银行股份有限公司平阳郑楼支行</t>
  </si>
  <si>
    <t>融资募集</t>
  </si>
  <si>
    <t>4年</t>
  </si>
  <si>
    <t>万全镇改善人居环境安置房项目（二期）</t>
  </si>
  <si>
    <t>中长期固定资产贷款</t>
  </si>
  <si>
    <t>2021.3.4-2025.12.31</t>
  </si>
  <si>
    <t>温州银行股份有限公司平阳支行</t>
  </si>
  <si>
    <t>2022.3.30-2027.3.30</t>
  </si>
  <si>
    <t>共富裕项目(一）</t>
  </si>
  <si>
    <t>中国光大银行瑞安支行</t>
  </si>
  <si>
    <t>2025.6.26-2025.12.25</t>
  </si>
  <si>
    <t>万全镇停车位翻新改造项目</t>
  </si>
  <si>
    <t>2022.年8月18-2027年8月18</t>
  </si>
  <si>
    <t>平阳县万全老旧厂房有机更新项目（一期）</t>
  </si>
  <si>
    <t>2023.2.24-2047.12.21</t>
  </si>
  <si>
    <t>万全镇绿包智慧停车改造提升项目</t>
  </si>
  <si>
    <t>18年2个月</t>
  </si>
  <si>
    <t>2年  5年</t>
  </si>
  <si>
    <t>高端装备智造产业园有机更新</t>
  </si>
  <si>
    <t>平阳县绿包智慧停车改造提升项目</t>
  </si>
  <si>
    <t>2023年10月31一2030-10-30</t>
  </si>
  <si>
    <t>共富二期</t>
  </si>
  <si>
    <t>收益权</t>
  </si>
  <si>
    <t>收益权（募集资金）</t>
  </si>
  <si>
    <t>陆家嘴国际信托有限公司</t>
  </si>
  <si>
    <t>2025.3.14-2026.3.13</t>
  </si>
  <si>
    <t>千万工程</t>
  </si>
  <si>
    <t>18年3个月</t>
  </si>
  <si>
    <t>渤海银行温州分行</t>
  </si>
  <si>
    <t>2024.12.10-2025.12.9</t>
  </si>
  <si>
    <t>万全镇改善人居环境安置房项目（二期</t>
  </si>
  <si>
    <t>中国邮政储蓄银行股份有限公司平阳支行</t>
  </si>
  <si>
    <t>2025.5.27-2027.5.26</t>
  </si>
  <si>
    <t>郑二社区E-21地块，E-25地块安置项目</t>
  </si>
  <si>
    <t>上海浦东发展股份银行温州分行</t>
  </si>
  <si>
    <t>2025.6.30-2029.6.30</t>
  </si>
  <si>
    <t>万全轻工园（一期）B19-1.B19-3地块安置房</t>
  </si>
  <si>
    <t>2年9个月</t>
  </si>
  <si>
    <t>浙旅盛景融资租赁有限公司</t>
  </si>
  <si>
    <t>2025.7.4-2028.7.4</t>
  </si>
  <si>
    <t>温州长安集团有限公司</t>
  </si>
  <si>
    <t>2024.12.10-2025.12.4</t>
  </si>
  <si>
    <t>2025.6.23-2025.12.12</t>
  </si>
  <si>
    <t>半年</t>
  </si>
  <si>
    <t>民生银行</t>
  </si>
  <si>
    <t>2023.12.21-2026.09.20</t>
  </si>
  <si>
    <t>2023.12.28-2026.09.20</t>
  </si>
  <si>
    <t>2023.09.25-2026.09.20</t>
  </si>
  <si>
    <t>浙商银行</t>
  </si>
  <si>
    <t>2025.08.28-2028.08.27</t>
  </si>
  <si>
    <t>融资租赁贷款</t>
  </si>
  <si>
    <t>永赢租赁</t>
  </si>
  <si>
    <t>2023.06.25-2026.05.29</t>
  </si>
  <si>
    <t>2023.12.25-2026.12.20</t>
  </si>
  <si>
    <t>中信银行</t>
  </si>
  <si>
    <t>2024.01.23-2027.01.22</t>
  </si>
  <si>
    <t>2024.01.24-2025.01.23</t>
  </si>
  <si>
    <t>信托</t>
  </si>
  <si>
    <t>浙商金汇</t>
  </si>
  <si>
    <t>2025.08.29-2028.08.29</t>
  </si>
  <si>
    <t>邮储银行</t>
  </si>
  <si>
    <t>2024.01.02-2026.01.01</t>
  </si>
  <si>
    <t>海通恒信</t>
  </si>
  <si>
    <t>2024.12.23-2027.12.23</t>
  </si>
  <si>
    <t>江苏金租</t>
  </si>
  <si>
    <t>2025.01.09-2028.01.09</t>
  </si>
  <si>
    <t>浙商租赁</t>
  </si>
  <si>
    <t>2025.05.30-2028.05.29</t>
  </si>
  <si>
    <t>温州长安集团平阳诚众汽车维修有限公司</t>
  </si>
  <si>
    <t>2025.01.09-2027.01.08</t>
  </si>
  <si>
    <t>2025.06.30-2026.06.29</t>
  </si>
  <si>
    <t>中国银行</t>
  </si>
  <si>
    <t>2025.06.26-2026.06.26</t>
  </si>
  <si>
    <t>平阳县长发汽车运输有限公司</t>
  </si>
  <si>
    <t>平阳县远方客运出租有限公司</t>
  </si>
  <si>
    <t>平阳县城乡公共交通有限公司</t>
  </si>
  <si>
    <t>2022.10.10-2025.10.8</t>
  </si>
  <si>
    <t>浙银租赁</t>
  </si>
  <si>
    <t>2023.1.4-2026.1.3</t>
  </si>
  <si>
    <t>平阳县长汽机动车驾驶员考试服务有限责任公司</t>
  </si>
  <si>
    <t>2025.9.16-2028.9.15</t>
  </si>
  <si>
    <t>平阳县勤奋机动车驾驶员培训有限公司</t>
  </si>
  <si>
    <t>2025.06.09-2027.06.08</t>
  </si>
  <si>
    <t>平阳县国诚控股有限公司</t>
  </si>
  <si>
    <t>流动资金借款</t>
  </si>
  <si>
    <t>2022年3月-2025年3月</t>
  </si>
  <si>
    <t>理财直融</t>
  </si>
  <si>
    <t>2023年3月-2024年3月</t>
  </si>
  <si>
    <t>2023年面向专业投资者非公开发行公司债券（第一期）</t>
  </si>
  <si>
    <t>债券</t>
  </si>
  <si>
    <t>天风证券</t>
  </si>
  <si>
    <t>2023年5月-2028年5月</t>
  </si>
  <si>
    <t>2023年面向专业投资者非公开发行公司债券（第二期）</t>
  </si>
  <si>
    <t>2023年8月-2028年8月</t>
  </si>
  <si>
    <t>2023年8月-2024年7月</t>
  </si>
  <si>
    <t>2024年3月-2027年2月</t>
  </si>
  <si>
    <t>2024年面向专业投资者非公开发行公司债券（第二期）</t>
  </si>
  <si>
    <t>2024年5月-2029年5月</t>
  </si>
  <si>
    <t>信托借款</t>
  </si>
  <si>
    <t>上海国际信托</t>
  </si>
  <si>
    <t>2024年7月-2025年8月</t>
  </si>
  <si>
    <t>2024年度第一期中期票据</t>
  </si>
  <si>
    <t>中国银行间市场交易商协会</t>
  </si>
  <si>
    <t>2024年8月-2026年8月</t>
  </si>
  <si>
    <t>2024年9月-2025年9月</t>
  </si>
  <si>
    <t>2024年面向专业投资者非公开发行公司债券（第三期）</t>
  </si>
  <si>
    <t>2024年11月-2029年11月</t>
  </si>
  <si>
    <t>2025年1月-2026年12月</t>
  </si>
  <si>
    <t>2025年2月-2026年2月</t>
  </si>
  <si>
    <t>2025年3月-2026年3月</t>
  </si>
  <si>
    <t>2025年5月-2026年5月</t>
  </si>
  <si>
    <t>浙江稠州商业银行股份有限公司温州龙港小微综合支行</t>
  </si>
  <si>
    <t>2025年1月-2026年2月</t>
  </si>
  <si>
    <t>2025年3月-2027年2月</t>
  </si>
  <si>
    <t>2025年度第一期中期票据</t>
  </si>
  <si>
    <t>北京金融资产交易所有限公司</t>
  </si>
  <si>
    <t>杭州银行</t>
  </si>
  <si>
    <t>2025年5月-2027年5月</t>
  </si>
  <si>
    <t>25公司债一期（天风证券）</t>
  </si>
  <si>
    <t>2025年6月-2030年6月</t>
  </si>
  <si>
    <t>渤海国际信托股份有限公司</t>
  </si>
  <si>
    <t>2025年6月-2028年6月</t>
  </si>
  <si>
    <t>厦门国际信托股份有限公司</t>
  </si>
  <si>
    <t>2025年7月-2026年7月</t>
  </si>
  <si>
    <t>浙商银行股份有限公司平阳支行</t>
  </si>
  <si>
    <t>2025年9月-2026年9月</t>
  </si>
  <si>
    <t>25公司债二期（天风证券）</t>
  </si>
  <si>
    <t>2025年9月-2030年9月</t>
  </si>
  <si>
    <t>平阳国有资产投资经营有限公司</t>
  </si>
  <si>
    <t>中国邮政储蓄银行股份有限公司平阳县支行</t>
  </si>
  <si>
    <t>2024年1月-2025年1月</t>
  </si>
  <si>
    <t>2025年1月-2027年1月</t>
  </si>
  <si>
    <t>浙江稠州商业银行</t>
  </si>
  <si>
    <t>2025年4月-2026年5月</t>
  </si>
  <si>
    <t xml:space="preserve"> 平阳县育强标准厂房投资管理有限公司</t>
  </si>
  <si>
    <t>经营物业贷</t>
  </si>
  <si>
    <t>浙江平阳农商行鳌江支行</t>
  </si>
  <si>
    <t>2023年12月-2038年12月</t>
  </si>
  <si>
    <t>2024年1月-2038年12月</t>
  </si>
  <si>
    <t>2024年3月-2025年3月</t>
  </si>
  <si>
    <t>平阳县国资发展有限公司</t>
  </si>
  <si>
    <t>17平阳停车债</t>
  </si>
  <si>
    <t>企业债券</t>
  </si>
  <si>
    <t>2017.8-2027.8</t>
  </si>
  <si>
    <t>非公开发行公司债(2021年1期）</t>
  </si>
  <si>
    <t>3+2</t>
  </si>
  <si>
    <t>中票</t>
  </si>
  <si>
    <t>非公开发行公司债(2022年1期）</t>
  </si>
  <si>
    <t>住房租赁购买项目</t>
  </si>
  <si>
    <t>2022.9-2035.9</t>
  </si>
  <si>
    <t>非公开发行公司债(2022年2期）</t>
  </si>
  <si>
    <t>2022.10-2027.10</t>
  </si>
  <si>
    <t>租赁住房改造装修贷</t>
  </si>
  <si>
    <t>2023.1.1-2030.12.31</t>
  </si>
  <si>
    <t>非公开发行公司债(2023年1期）</t>
  </si>
  <si>
    <t>2023.3.28-2028.3.27</t>
  </si>
  <si>
    <t>定向债务融资</t>
  </si>
  <si>
    <t>2023.3.15-2026.3.14</t>
  </si>
  <si>
    <t>保障性租赁住房装修贷</t>
  </si>
  <si>
    <t>2023.9.26-2043.9.20</t>
  </si>
  <si>
    <t>福建海峡银行温州瑞安支行</t>
  </si>
  <si>
    <t>2023.12.5-2026.12.4</t>
  </si>
  <si>
    <t>2024.6.4-2027.6.3</t>
  </si>
  <si>
    <t>2024.12.13-2025.12.10</t>
  </si>
  <si>
    <t>2024.12.19-2025.12.15</t>
  </si>
  <si>
    <t>2025.01.01-2028.01.01</t>
  </si>
  <si>
    <t>中信信托（宁波银行中介）</t>
  </si>
  <si>
    <t>2025.01.10-2026.02.03</t>
  </si>
  <si>
    <t>中信银行温州平阳支行</t>
  </si>
  <si>
    <t>2025.3.11-2026.3.11</t>
  </si>
  <si>
    <t>2025.05.27-2026.05.26</t>
  </si>
  <si>
    <t>2025.06.26-2028.06.20</t>
  </si>
  <si>
    <t>平阳县盈泽控股有限公司</t>
  </si>
  <si>
    <t>平阳县水头污水处理厂清洁排放提标工程</t>
  </si>
  <si>
    <t>浙江平阳农村商业银行股份有限公司鳌江支行</t>
  </si>
  <si>
    <t>2024年08月-2027年8月</t>
  </si>
  <si>
    <t>2024年09月-2027月09月</t>
  </si>
  <si>
    <t>2024年11月-2027年11月</t>
  </si>
  <si>
    <t>平阳县新能源汽车充电中基础设施工程项目</t>
  </si>
  <si>
    <t>中国农业银行股份有限公司平阳支行</t>
  </si>
  <si>
    <t>2025年06月-2045年06月</t>
  </si>
  <si>
    <t>2025年07月-2045年06月</t>
  </si>
  <si>
    <t>交通银行股份有限公司城西支行</t>
  </si>
  <si>
    <t>2025年07月-2033年06月</t>
  </si>
  <si>
    <t>8年</t>
  </si>
  <si>
    <t>2025年06月-2033年06月</t>
  </si>
  <si>
    <t>平阳县瓯南资产管理有限公司</t>
  </si>
  <si>
    <t>2025.3.25-2026.3.25</t>
  </si>
  <si>
    <t>2024.7.18-2027.7.18</t>
  </si>
  <si>
    <t>平阳县国润控股有限公司</t>
  </si>
  <si>
    <t>久实融资租赁（上海）有限公司</t>
  </si>
  <si>
    <t>2025.1.27-2028.3.31</t>
  </si>
  <si>
    <t>久实融资租赁有限公司</t>
  </si>
  <si>
    <t>2025.3.13-2028.3.13</t>
  </si>
  <si>
    <t>2025.6.27-2026.6.27</t>
  </si>
  <si>
    <t>平阳县水利发展投资有限公司</t>
  </si>
  <si>
    <t>鳌江干流治理平阳县水头段防洪工程项目</t>
  </si>
  <si>
    <t>国家开发银行</t>
  </si>
  <si>
    <t>2017.4.14-2042.4.13</t>
  </si>
  <si>
    <t>渝农商金融租赁有限公司</t>
  </si>
  <si>
    <t>2020.12.4-2025.12.4</t>
  </si>
  <si>
    <t>2021.3.10-2026.3.10</t>
  </si>
  <si>
    <t>2023.5.19-2024-5.18</t>
  </si>
  <si>
    <t>平阳县鳌江怀溪流域综合整治工程项目</t>
  </si>
  <si>
    <t>2023.6.30-2033.6.1</t>
  </si>
  <si>
    <t>温州顺溪水利工程投资有限公司</t>
  </si>
  <si>
    <t>2015.6.30-2022.12.30</t>
  </si>
  <si>
    <t>邮储银行平阳支行</t>
  </si>
  <si>
    <t>2023.08.22-2025.08.21</t>
  </si>
  <si>
    <t>2020.6.26-2024.12.26</t>
  </si>
  <si>
    <t>平阳县顺溪水利枢纽工程项目</t>
  </si>
  <si>
    <t>2022.8.18-2042.8.17</t>
  </si>
  <si>
    <t>上海银行温州分行</t>
  </si>
  <si>
    <t>2023.2.24-2025.2.24</t>
  </si>
  <si>
    <t>2024.9.19-2028.9.19</t>
  </si>
  <si>
    <t>上海国金融资租赁有限公司</t>
  </si>
  <si>
    <t>2025.1.7-2028.1.7</t>
  </si>
  <si>
    <t>2025.6.30-2026.6.29</t>
  </si>
  <si>
    <t>2025.6.24-2026.6.20</t>
  </si>
  <si>
    <t>2025.9.12-2028.9.11</t>
  </si>
  <si>
    <t>平阳县国渠人力资源服务有限公司</t>
  </si>
  <si>
    <t>2023.6.21-2024.6.21</t>
  </si>
  <si>
    <t>2023.2.23-2025.2.23</t>
  </si>
  <si>
    <t>2024.5.30-2026.5.29</t>
  </si>
  <si>
    <t>2024.6.26-2024.12.25</t>
  </si>
  <si>
    <t>中信银行平阳支行</t>
  </si>
  <si>
    <t>2024.7.30-2025.7.29</t>
  </si>
  <si>
    <t>2024.8.13-2025.8.12</t>
  </si>
  <si>
    <t>2025.1.3-2025.9.18</t>
  </si>
  <si>
    <t>2025.5.9-2026.5.6</t>
  </si>
  <si>
    <t>中国银行温州平阳昆阳支行</t>
  </si>
  <si>
    <t>2025.9.25-2026.3.21</t>
  </si>
  <si>
    <t>平阳县黄坑水电有限责任公司</t>
  </si>
  <si>
    <t>2023.12.21-2025.12.17</t>
  </si>
  <si>
    <t>农商银行平阳支行</t>
  </si>
  <si>
    <t>2024.3.31-2026.3.30</t>
  </si>
  <si>
    <t>平阳县国渠水利水电勘测设计有限公司</t>
  </si>
  <si>
    <t>2023.3.3-2025.3.3</t>
  </si>
  <si>
    <t>2025.1.24-2026.1.22</t>
  </si>
  <si>
    <t>2025.5.13-2026.5.6</t>
  </si>
  <si>
    <t>平阳县旅游发展投资有限公司</t>
  </si>
  <si>
    <t>南雁荡山东西洞核心景区提升改造项目</t>
  </si>
  <si>
    <t>农业银行平阳县支行</t>
  </si>
  <si>
    <t>2016年5月26日-2026年5月24日</t>
  </si>
  <si>
    <t>南麂旅游开发项目</t>
  </si>
  <si>
    <t>2022年2月17日-2034年6月28日</t>
  </si>
  <si>
    <t>南麂安置房项目</t>
  </si>
  <si>
    <t>中国工商银行平阳支行</t>
  </si>
  <si>
    <t>2025年5月28日-2028年4月18日</t>
  </si>
  <si>
    <t>徽银融资租赁</t>
  </si>
  <si>
    <t>2025年6月27日-2029年6月27日</t>
  </si>
  <si>
    <t>融资期限</t>
    <phoneticPr fontId="7" type="noConversion"/>
  </si>
  <si>
    <r>
      <t xml:space="preserve">项目名称
</t>
    </r>
    <r>
      <rPr>
        <sz val="10"/>
        <color theme="1"/>
        <rFont val="宋体"/>
        <family val="3"/>
        <charset val="134"/>
      </rPr>
      <t>（项目贷款填“**项目”、债券填债券名称；否则不用填）</t>
    </r>
  </si>
  <si>
    <t>年限（填几年）</t>
  </si>
  <si>
    <t>2020年2月-2025年11月</t>
    <phoneticPr fontId="7" type="noConversion"/>
  </si>
  <si>
    <t>2023.6.26-2027.6.14</t>
    <phoneticPr fontId="7" type="noConversion"/>
  </si>
  <si>
    <t>2022.1.10-2027.17</t>
    <phoneticPr fontId="7" type="noConversion"/>
  </si>
  <si>
    <t>2022年6月30一2042.6.20</t>
    <phoneticPr fontId="7" type="noConversion"/>
  </si>
  <si>
    <t>2023.4.18-2043.2.12</t>
    <phoneticPr fontId="7" type="noConversion"/>
  </si>
  <si>
    <t>2023.8.31-2025.8.30</t>
    <phoneticPr fontId="7" type="noConversion"/>
  </si>
  <si>
    <t>2023.8.31-2048.7.31</t>
    <phoneticPr fontId="7" type="noConversion"/>
  </si>
  <si>
    <t>2024.9.20-2026.9.15</t>
    <phoneticPr fontId="7" type="noConversion"/>
  </si>
  <si>
    <t>2024.12.17-2043.11.21</t>
    <phoneticPr fontId="7" type="noConversion"/>
  </si>
  <si>
    <t>2025.6.24-2028.5.20</t>
    <phoneticPr fontId="7" type="noConversion"/>
  </si>
  <si>
    <t>2025.06.24-2027.06.23</t>
    <phoneticPr fontId="7" type="noConversion"/>
  </si>
  <si>
    <t>2024.10-2026.10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</si>
</sst>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8" formatCode="0_ "/>
    <numFmt numFmtId="179" formatCode="0.00_ "/>
    <numFmt numFmtId="180" formatCode="0.000000_ "/>
  </numFmts>
  <fonts count="15" x14ac:knownFonts="1">
    <font>
      <sz val="11"/>
      <color theme="1"/>
      <name val="宋体"/>
      <charset val="134"/>
      <scheme val="minor"/>
    </font>
    <font>
      <sz val="11"/>
      <color theme="9" tint="0.3999755851924192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3.5"/>
      <color theme="1"/>
      <name val="宋体"/>
      <family val="3"/>
      <charset val="134"/>
    </font>
    <font>
      <sz val="20"/>
      <color theme="1"/>
      <name val="宋体"/>
      <family val="3"/>
      <charset val="134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4" fillId="0" borderId="0">
      <alignment vertical="center"/>
    </xf>
    <xf numFmtId="0" fontId="3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179" fontId="1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43" fontId="14" fillId="0" borderId="0" xfId="1" applyFont="1">
      <alignment vertical="center"/>
    </xf>
  </cellXfs>
  <cellStyles count="3">
    <cellStyle name="常规" xfId="0" builtinId="0"/>
    <cellStyle name="常规 2" xfId="2" xr:uid="{00000000-0005-0000-0000-000031000000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6"/>
  <sheetViews>
    <sheetView tabSelected="1" zoomScale="70" zoomScaleNormal="70" workbookViewId="0">
      <pane xSplit="1" ySplit="3" topLeftCell="C4" activePane="bottomRight" state="frozen"/>
      <selection pane="topRight"/>
      <selection pane="bottomLeft"/>
      <selection pane="bottomRight" activeCell="D6" sqref="D6"/>
    </sheetView>
  </sheetViews>
  <sheetFormatPr defaultColWidth="9" defaultRowHeight="14.15" x14ac:dyDescent="0.3"/>
  <cols>
    <col min="1" max="1" width="38.84375" style="1" customWidth="1"/>
    <col min="2" max="2" width="22.23046875" style="1" hidden="1" customWidth="1"/>
    <col min="3" max="3" width="19.765625" style="1" customWidth="1"/>
    <col min="4" max="4" width="39.4609375" style="1" customWidth="1"/>
    <col min="5" max="6" width="22.3828125" style="1" customWidth="1"/>
    <col min="7" max="7" width="37.15234375" style="1" customWidth="1"/>
    <col min="8" max="8" width="16" style="1" hidden="1" customWidth="1"/>
    <col min="9" max="16384" width="9" style="1"/>
  </cols>
  <sheetData>
    <row r="1" spans="1:8" ht="44.05" customHeight="1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8" ht="15" x14ac:dyDescent="0.3">
      <c r="A2" s="4"/>
      <c r="B2" s="4"/>
      <c r="C2" s="4"/>
      <c r="D2" s="4"/>
      <c r="E2" s="4"/>
      <c r="F2" s="4">
        <v>2025.09</v>
      </c>
      <c r="G2" s="4"/>
      <c r="H2" s="4"/>
    </row>
    <row r="3" spans="1:8" ht="20.05" customHeight="1" x14ac:dyDescent="0.3">
      <c r="A3" s="4" t="s">
        <v>1</v>
      </c>
      <c r="B3" s="4" t="s">
        <v>720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719</v>
      </c>
      <c r="H3" s="4" t="s">
        <v>721</v>
      </c>
    </row>
    <row r="4" spans="1:8" ht="20.05" customHeight="1" x14ac:dyDescent="0.3">
      <c r="A4" s="4" t="s">
        <v>6</v>
      </c>
      <c r="B4" s="4" t="s">
        <v>7</v>
      </c>
      <c r="C4" s="4" t="s">
        <v>8</v>
      </c>
      <c r="D4" s="4" t="s">
        <v>9</v>
      </c>
      <c r="E4" s="4">
        <v>126000</v>
      </c>
      <c r="F4" s="5">
        <v>105815.95</v>
      </c>
      <c r="G4" s="5" t="s">
        <v>10</v>
      </c>
      <c r="H4" s="5" t="s">
        <v>11</v>
      </c>
    </row>
    <row r="5" spans="1:8" ht="20.05" customHeight="1" x14ac:dyDescent="0.3">
      <c r="A5" s="4" t="s">
        <v>6</v>
      </c>
      <c r="B5" s="4" t="s">
        <v>12</v>
      </c>
      <c r="C5" s="4" t="s">
        <v>13</v>
      </c>
      <c r="D5" s="4" t="s">
        <v>14</v>
      </c>
      <c r="E5" s="4">
        <v>15000</v>
      </c>
      <c r="F5" s="5">
        <v>14600</v>
      </c>
      <c r="G5" s="5" t="s">
        <v>15</v>
      </c>
      <c r="H5" s="5" t="s">
        <v>16</v>
      </c>
    </row>
    <row r="6" spans="1:8" ht="20.05" customHeight="1" x14ac:dyDescent="0.3">
      <c r="A6" s="4" t="s">
        <v>6</v>
      </c>
      <c r="B6" s="4" t="s">
        <v>12</v>
      </c>
      <c r="C6" s="4" t="s">
        <v>13</v>
      </c>
      <c r="D6" s="4" t="s">
        <v>17</v>
      </c>
      <c r="E6" s="4">
        <v>7900</v>
      </c>
      <c r="F6" s="5">
        <v>4077.0265370000002</v>
      </c>
      <c r="G6" s="5" t="s">
        <v>18</v>
      </c>
      <c r="H6" s="5" t="s">
        <v>16</v>
      </c>
    </row>
    <row r="7" spans="1:8" ht="20.05" customHeight="1" x14ac:dyDescent="0.3">
      <c r="A7" s="4" t="s">
        <v>6</v>
      </c>
      <c r="B7" s="4" t="s">
        <v>12</v>
      </c>
      <c r="C7" s="4" t="s">
        <v>19</v>
      </c>
      <c r="D7" s="4" t="s">
        <v>20</v>
      </c>
      <c r="E7" s="4">
        <v>9000</v>
      </c>
      <c r="F7" s="5">
        <v>7000</v>
      </c>
      <c r="G7" s="5" t="s">
        <v>21</v>
      </c>
      <c r="H7" s="5" t="s">
        <v>22</v>
      </c>
    </row>
    <row r="8" spans="1:8" ht="20.05" customHeight="1" x14ac:dyDescent="0.3">
      <c r="A8" s="4" t="s">
        <v>6</v>
      </c>
      <c r="B8" s="4" t="s">
        <v>12</v>
      </c>
      <c r="C8" s="4" t="s">
        <v>19</v>
      </c>
      <c r="D8" s="4" t="s">
        <v>23</v>
      </c>
      <c r="E8" s="4">
        <v>1000</v>
      </c>
      <c r="F8" s="5">
        <v>1000</v>
      </c>
      <c r="G8" s="5" t="s">
        <v>24</v>
      </c>
      <c r="H8" s="5" t="s">
        <v>25</v>
      </c>
    </row>
    <row r="9" spans="1:8" ht="20.05" customHeight="1" x14ac:dyDescent="0.3">
      <c r="A9" s="4" t="s">
        <v>6</v>
      </c>
      <c r="B9" s="4" t="s">
        <v>12</v>
      </c>
      <c r="C9" s="4" t="s">
        <v>19</v>
      </c>
      <c r="D9" s="4" t="s">
        <v>26</v>
      </c>
      <c r="E9" s="4">
        <v>4000</v>
      </c>
      <c r="F9" s="5">
        <v>4000</v>
      </c>
      <c r="G9" s="5" t="s">
        <v>27</v>
      </c>
      <c r="H9" s="5" t="s">
        <v>22</v>
      </c>
    </row>
    <row r="10" spans="1:8" ht="20.05" customHeight="1" x14ac:dyDescent="0.3">
      <c r="A10" s="4" t="s">
        <v>6</v>
      </c>
      <c r="B10" s="4" t="s">
        <v>12</v>
      </c>
      <c r="C10" s="4" t="s">
        <v>13</v>
      </c>
      <c r="D10" s="4" t="s">
        <v>28</v>
      </c>
      <c r="E10" s="4">
        <v>25000</v>
      </c>
      <c r="F10" s="5">
        <v>25000</v>
      </c>
      <c r="G10" s="5" t="s">
        <v>29</v>
      </c>
      <c r="H10" s="5" t="s">
        <v>30</v>
      </c>
    </row>
    <row r="11" spans="1:8" s="2" customFormat="1" ht="20.05" customHeight="1" x14ac:dyDescent="0.3">
      <c r="A11" s="4" t="s">
        <v>6</v>
      </c>
      <c r="B11" s="4" t="s">
        <v>12</v>
      </c>
      <c r="C11" s="4" t="s">
        <v>13</v>
      </c>
      <c r="D11" s="4" t="s">
        <v>31</v>
      </c>
      <c r="E11" s="4">
        <v>10000</v>
      </c>
      <c r="F11" s="5">
        <v>10000</v>
      </c>
      <c r="G11" s="5" t="s">
        <v>32</v>
      </c>
      <c r="H11" s="5" t="s">
        <v>16</v>
      </c>
    </row>
    <row r="12" spans="1:8" ht="20.05" customHeight="1" x14ac:dyDescent="0.3">
      <c r="A12" s="4" t="s">
        <v>33</v>
      </c>
      <c r="B12" s="4" t="s">
        <v>34</v>
      </c>
      <c r="C12" s="4" t="s">
        <v>35</v>
      </c>
      <c r="D12" s="4" t="s">
        <v>36</v>
      </c>
      <c r="E12" s="4">
        <v>13000</v>
      </c>
      <c r="F12" s="6">
        <v>13000</v>
      </c>
      <c r="G12" s="4" t="s">
        <v>37</v>
      </c>
      <c r="H12" s="5">
        <v>0.5</v>
      </c>
    </row>
    <row r="13" spans="1:8" ht="20.05" customHeight="1" x14ac:dyDescent="0.3">
      <c r="A13" s="4" t="s">
        <v>33</v>
      </c>
      <c r="B13" s="4" t="s">
        <v>38</v>
      </c>
      <c r="C13" s="4" t="s">
        <v>35</v>
      </c>
      <c r="D13" s="4" t="s">
        <v>39</v>
      </c>
      <c r="E13" s="4">
        <v>4000</v>
      </c>
      <c r="F13" s="6">
        <v>3500</v>
      </c>
      <c r="G13" s="4" t="s">
        <v>40</v>
      </c>
      <c r="H13" s="5">
        <v>1.08</v>
      </c>
    </row>
    <row r="14" spans="1:8" ht="20.05" customHeight="1" x14ac:dyDescent="0.3">
      <c r="A14" s="4" t="s">
        <v>33</v>
      </c>
      <c r="B14" s="4" t="s">
        <v>41</v>
      </c>
      <c r="C14" s="4" t="s">
        <v>35</v>
      </c>
      <c r="D14" s="4" t="s">
        <v>42</v>
      </c>
      <c r="E14" s="4">
        <v>15000</v>
      </c>
      <c r="F14" s="6">
        <v>7500</v>
      </c>
      <c r="G14" s="4" t="s">
        <v>43</v>
      </c>
      <c r="H14" s="5">
        <v>5.92</v>
      </c>
    </row>
    <row r="15" spans="1:8" ht="20.05" customHeight="1" x14ac:dyDescent="0.3">
      <c r="A15" s="4" t="s">
        <v>33</v>
      </c>
      <c r="B15" s="4" t="s">
        <v>44</v>
      </c>
      <c r="C15" s="4" t="s">
        <v>35</v>
      </c>
      <c r="D15" s="4" t="s">
        <v>45</v>
      </c>
      <c r="E15" s="4">
        <v>1000</v>
      </c>
      <c r="F15" s="6">
        <v>980</v>
      </c>
      <c r="G15" s="4" t="s">
        <v>46</v>
      </c>
      <c r="H15" s="5">
        <v>3</v>
      </c>
    </row>
    <row r="16" spans="1:8" ht="20.05" customHeight="1" x14ac:dyDescent="0.3">
      <c r="A16" s="4" t="s">
        <v>33</v>
      </c>
      <c r="B16" s="4" t="s">
        <v>47</v>
      </c>
      <c r="C16" s="4" t="s">
        <v>13</v>
      </c>
      <c r="D16" s="4" t="s">
        <v>48</v>
      </c>
      <c r="E16" s="4">
        <v>8000</v>
      </c>
      <c r="F16" s="6">
        <v>5469</v>
      </c>
      <c r="G16" s="4" t="s">
        <v>49</v>
      </c>
      <c r="H16" s="5">
        <v>3</v>
      </c>
    </row>
    <row r="17" spans="1:8" ht="20.05" customHeight="1" x14ac:dyDescent="0.3">
      <c r="A17" s="4" t="s">
        <v>33</v>
      </c>
      <c r="B17" s="4" t="s">
        <v>50</v>
      </c>
      <c r="C17" s="4" t="s">
        <v>35</v>
      </c>
      <c r="D17" s="4" t="s">
        <v>51</v>
      </c>
      <c r="E17" s="4">
        <v>8000</v>
      </c>
      <c r="F17" s="6">
        <v>7200</v>
      </c>
      <c r="G17" s="4" t="s">
        <v>52</v>
      </c>
      <c r="H17" s="5">
        <v>1.42</v>
      </c>
    </row>
    <row r="18" spans="1:8" ht="20.05" customHeight="1" x14ac:dyDescent="0.3">
      <c r="A18" s="4" t="s">
        <v>33</v>
      </c>
      <c r="B18" s="4" t="s">
        <v>53</v>
      </c>
      <c r="C18" s="4" t="s">
        <v>35</v>
      </c>
      <c r="D18" s="4" t="s">
        <v>54</v>
      </c>
      <c r="E18" s="4">
        <v>10000</v>
      </c>
      <c r="F18" s="6">
        <v>9500</v>
      </c>
      <c r="G18" s="4" t="s">
        <v>55</v>
      </c>
      <c r="H18" s="5">
        <v>1.08</v>
      </c>
    </row>
    <row r="19" spans="1:8" ht="20.05" customHeight="1" x14ac:dyDescent="0.3">
      <c r="A19" s="4" t="s">
        <v>33</v>
      </c>
      <c r="B19" s="4" t="s">
        <v>56</v>
      </c>
      <c r="C19" s="4" t="s">
        <v>35</v>
      </c>
      <c r="D19" s="4" t="s">
        <v>42</v>
      </c>
      <c r="E19" s="4">
        <v>3000</v>
      </c>
      <c r="F19" s="6">
        <v>3000</v>
      </c>
      <c r="G19" s="4" t="s">
        <v>57</v>
      </c>
      <c r="H19" s="5">
        <v>0.92</v>
      </c>
    </row>
    <row r="20" spans="1:8" ht="20.05" customHeight="1" x14ac:dyDescent="0.3">
      <c r="A20" s="4" t="s">
        <v>33</v>
      </c>
      <c r="B20" s="4" t="s">
        <v>53</v>
      </c>
      <c r="C20" s="4" t="s">
        <v>35</v>
      </c>
      <c r="D20" s="4" t="s">
        <v>54</v>
      </c>
      <c r="E20" s="4">
        <v>10000</v>
      </c>
      <c r="F20" s="6">
        <v>10000</v>
      </c>
      <c r="G20" s="4" t="s">
        <v>58</v>
      </c>
      <c r="H20" s="5">
        <v>0.92</v>
      </c>
    </row>
    <row r="21" spans="1:8" ht="20.05" customHeight="1" x14ac:dyDescent="0.3">
      <c r="A21" s="4" t="s">
        <v>33</v>
      </c>
      <c r="B21" s="4" t="s">
        <v>59</v>
      </c>
      <c r="C21" s="4" t="s">
        <v>13</v>
      </c>
      <c r="D21" s="4" t="s">
        <v>60</v>
      </c>
      <c r="E21" s="4">
        <v>18000</v>
      </c>
      <c r="F21" s="6">
        <v>15895</v>
      </c>
      <c r="G21" s="18" t="s">
        <v>61</v>
      </c>
      <c r="H21" s="5">
        <v>3</v>
      </c>
    </row>
    <row r="22" spans="1:8" ht="20.05" customHeight="1" x14ac:dyDescent="0.3">
      <c r="A22" s="4" t="s">
        <v>33</v>
      </c>
      <c r="B22" s="4" t="s">
        <v>62</v>
      </c>
      <c r="C22" s="4" t="s">
        <v>13</v>
      </c>
      <c r="D22" s="4" t="s">
        <v>63</v>
      </c>
      <c r="E22" s="4">
        <v>10000</v>
      </c>
      <c r="F22" s="6">
        <v>9105</v>
      </c>
      <c r="G22" s="4" t="s">
        <v>64</v>
      </c>
      <c r="H22" s="5">
        <v>5</v>
      </c>
    </row>
    <row r="23" spans="1:8" ht="20.05" customHeight="1" x14ac:dyDescent="0.3">
      <c r="A23" s="4" t="s">
        <v>33</v>
      </c>
      <c r="B23" s="4" t="s">
        <v>65</v>
      </c>
      <c r="C23" s="4" t="s">
        <v>13</v>
      </c>
      <c r="D23" s="4" t="s">
        <v>66</v>
      </c>
      <c r="E23" s="4">
        <v>10000</v>
      </c>
      <c r="F23" s="6">
        <v>8333</v>
      </c>
      <c r="G23" s="4" t="s">
        <v>67</v>
      </c>
      <c r="H23" s="5">
        <v>3</v>
      </c>
    </row>
    <row r="24" spans="1:8" ht="20.05" customHeight="1" x14ac:dyDescent="0.3">
      <c r="A24" s="4" t="s">
        <v>33</v>
      </c>
      <c r="B24" s="4" t="s">
        <v>68</v>
      </c>
      <c r="C24" s="4" t="s">
        <v>19</v>
      </c>
      <c r="D24" s="4" t="s">
        <v>69</v>
      </c>
      <c r="E24" s="4">
        <v>1000</v>
      </c>
      <c r="F24" s="6">
        <v>1000</v>
      </c>
      <c r="G24" s="4" t="s">
        <v>70</v>
      </c>
      <c r="H24" s="5">
        <v>1.08</v>
      </c>
    </row>
    <row r="25" spans="1:8" ht="20.05" customHeight="1" x14ac:dyDescent="0.3">
      <c r="A25" s="4" t="s">
        <v>33</v>
      </c>
      <c r="B25" s="4" t="s">
        <v>71</v>
      </c>
      <c r="C25" s="4" t="s">
        <v>13</v>
      </c>
      <c r="D25" s="4" t="s">
        <v>72</v>
      </c>
      <c r="E25" s="4">
        <v>10000</v>
      </c>
      <c r="F25" s="6">
        <v>10000</v>
      </c>
      <c r="G25" s="4" t="s">
        <v>73</v>
      </c>
      <c r="H25" s="5">
        <v>3</v>
      </c>
    </row>
    <row r="26" spans="1:8" ht="20.05" customHeight="1" x14ac:dyDescent="0.3">
      <c r="A26" s="4" t="s">
        <v>74</v>
      </c>
      <c r="B26" s="4" t="s">
        <v>75</v>
      </c>
      <c r="C26" s="4" t="s">
        <v>8</v>
      </c>
      <c r="D26" s="4" t="s">
        <v>76</v>
      </c>
      <c r="E26" s="4">
        <v>15000</v>
      </c>
      <c r="F26" s="4">
        <v>5610</v>
      </c>
      <c r="G26" s="4" t="s">
        <v>77</v>
      </c>
      <c r="H26" s="4" t="s">
        <v>78</v>
      </c>
    </row>
    <row r="27" spans="1:8" ht="20.05" customHeight="1" x14ac:dyDescent="0.3">
      <c r="A27" s="4" t="s">
        <v>74</v>
      </c>
      <c r="B27" s="4" t="s">
        <v>79</v>
      </c>
      <c r="C27" s="4" t="s">
        <v>80</v>
      </c>
      <c r="D27" s="4" t="s">
        <v>81</v>
      </c>
      <c r="E27" s="4">
        <v>180000</v>
      </c>
      <c r="F27" s="4">
        <v>78537.494944000005</v>
      </c>
      <c r="G27" s="4" t="s">
        <v>82</v>
      </c>
      <c r="H27" s="4" t="s">
        <v>83</v>
      </c>
    </row>
    <row r="28" spans="1:8" ht="20.05" customHeight="1" x14ac:dyDescent="0.3">
      <c r="A28" s="4" t="s">
        <v>74</v>
      </c>
      <c r="B28" s="4" t="s">
        <v>84</v>
      </c>
      <c r="C28" s="4" t="s">
        <v>80</v>
      </c>
      <c r="D28" s="4" t="s">
        <v>85</v>
      </c>
      <c r="E28" s="4">
        <v>90000</v>
      </c>
      <c r="F28" s="4">
        <v>36940.967012000001</v>
      </c>
      <c r="G28" s="4" t="s">
        <v>86</v>
      </c>
      <c r="H28" s="4" t="s">
        <v>87</v>
      </c>
    </row>
    <row r="29" spans="1:8" ht="20.05" customHeight="1" x14ac:dyDescent="0.3">
      <c r="A29" s="4" t="s">
        <v>74</v>
      </c>
      <c r="B29" s="4" t="s">
        <v>88</v>
      </c>
      <c r="C29" s="4" t="s">
        <v>80</v>
      </c>
      <c r="D29" s="4" t="s">
        <v>89</v>
      </c>
      <c r="E29" s="4">
        <v>4000</v>
      </c>
      <c r="F29" s="4">
        <v>4000</v>
      </c>
      <c r="G29" s="4" t="s">
        <v>90</v>
      </c>
      <c r="H29" s="4" t="s">
        <v>91</v>
      </c>
    </row>
    <row r="30" spans="1:8" ht="20.05" customHeight="1" x14ac:dyDescent="0.3">
      <c r="A30" s="4" t="s">
        <v>74</v>
      </c>
      <c r="B30" s="4" t="s">
        <v>92</v>
      </c>
      <c r="C30" s="4" t="s">
        <v>80</v>
      </c>
      <c r="D30" s="4" t="s">
        <v>81</v>
      </c>
      <c r="E30" s="4">
        <v>115000</v>
      </c>
      <c r="F30" s="4">
        <v>70986.864279999994</v>
      </c>
      <c r="G30" s="4" t="s">
        <v>93</v>
      </c>
      <c r="H30" s="4" t="s">
        <v>83</v>
      </c>
    </row>
    <row r="31" spans="1:8" ht="20.05" customHeight="1" x14ac:dyDescent="0.3">
      <c r="A31" s="4" t="s">
        <v>74</v>
      </c>
      <c r="B31" s="4" t="s">
        <v>94</v>
      </c>
      <c r="C31" s="4" t="s">
        <v>80</v>
      </c>
      <c r="D31" s="4" t="s">
        <v>95</v>
      </c>
      <c r="E31" s="4">
        <v>40000</v>
      </c>
      <c r="F31" s="4">
        <v>31172.28</v>
      </c>
      <c r="G31" s="4" t="s">
        <v>96</v>
      </c>
      <c r="H31" s="4" t="s">
        <v>91</v>
      </c>
    </row>
    <row r="32" spans="1:8" ht="20.05" customHeight="1" x14ac:dyDescent="0.3">
      <c r="A32" s="4" t="s">
        <v>74</v>
      </c>
      <c r="B32" s="4" t="s">
        <v>97</v>
      </c>
      <c r="C32" s="4" t="s">
        <v>80</v>
      </c>
      <c r="D32" s="4" t="s">
        <v>81</v>
      </c>
      <c r="E32" s="4">
        <v>60000</v>
      </c>
      <c r="F32" s="4">
        <v>16600</v>
      </c>
      <c r="G32" s="4" t="s">
        <v>98</v>
      </c>
      <c r="H32" s="4" t="s">
        <v>83</v>
      </c>
    </row>
    <row r="33" spans="1:8" ht="20.05" customHeight="1" x14ac:dyDescent="0.3">
      <c r="A33" s="4" t="s">
        <v>99</v>
      </c>
      <c r="B33" s="4" t="s">
        <v>100</v>
      </c>
      <c r="C33" s="4" t="s">
        <v>80</v>
      </c>
      <c r="D33" s="4" t="s">
        <v>76</v>
      </c>
      <c r="E33" s="4">
        <v>34500</v>
      </c>
      <c r="F33" s="4">
        <v>4790</v>
      </c>
      <c r="G33" s="4" t="s">
        <v>101</v>
      </c>
      <c r="H33" s="4" t="s">
        <v>102</v>
      </c>
    </row>
    <row r="34" spans="1:8" ht="20.05" customHeight="1" x14ac:dyDescent="0.3">
      <c r="A34" s="4" t="s">
        <v>99</v>
      </c>
      <c r="B34" s="4" t="s">
        <v>103</v>
      </c>
      <c r="C34" s="4" t="s">
        <v>19</v>
      </c>
      <c r="D34" s="4" t="s">
        <v>81</v>
      </c>
      <c r="E34" s="4">
        <v>950</v>
      </c>
      <c r="F34" s="4">
        <v>800</v>
      </c>
      <c r="G34" s="4" t="s">
        <v>104</v>
      </c>
      <c r="H34" s="4" t="s">
        <v>25</v>
      </c>
    </row>
    <row r="35" spans="1:8" ht="20.05" customHeight="1" x14ac:dyDescent="0.3">
      <c r="A35" s="4" t="s">
        <v>99</v>
      </c>
      <c r="B35" s="4" t="s">
        <v>105</v>
      </c>
      <c r="C35" s="4" t="s">
        <v>80</v>
      </c>
      <c r="D35" s="4" t="s">
        <v>95</v>
      </c>
      <c r="E35" s="4">
        <v>145000</v>
      </c>
      <c r="F35" s="4">
        <v>62000</v>
      </c>
      <c r="G35" s="4" t="s">
        <v>106</v>
      </c>
      <c r="H35" s="4" t="s">
        <v>107</v>
      </c>
    </row>
    <row r="36" spans="1:8" ht="20.05" customHeight="1" x14ac:dyDescent="0.3">
      <c r="A36" s="5" t="s">
        <v>108</v>
      </c>
      <c r="B36" s="5" t="s">
        <v>109</v>
      </c>
      <c r="C36" s="5" t="s">
        <v>8</v>
      </c>
      <c r="D36" s="5" t="s">
        <v>110</v>
      </c>
      <c r="E36" s="5">
        <v>116000</v>
      </c>
      <c r="F36" s="5">
        <v>89800</v>
      </c>
      <c r="G36" s="5" t="s">
        <v>111</v>
      </c>
      <c r="H36" s="5" t="s">
        <v>16</v>
      </c>
    </row>
    <row r="37" spans="1:8" ht="20.05" customHeight="1" x14ac:dyDescent="0.3">
      <c r="A37" s="5" t="s">
        <v>108</v>
      </c>
      <c r="B37" s="5"/>
      <c r="C37" s="5" t="s">
        <v>13</v>
      </c>
      <c r="D37" s="5" t="s">
        <v>112</v>
      </c>
      <c r="E37" s="5">
        <v>8000</v>
      </c>
      <c r="F37" s="5">
        <v>1600</v>
      </c>
      <c r="G37" s="5" t="s">
        <v>113</v>
      </c>
      <c r="H37" s="5" t="s">
        <v>91</v>
      </c>
    </row>
    <row r="38" spans="1:8" ht="20.05" customHeight="1" x14ac:dyDescent="0.3">
      <c r="A38" s="5" t="s">
        <v>108</v>
      </c>
      <c r="B38" s="5" t="s">
        <v>114</v>
      </c>
      <c r="C38" s="5" t="s">
        <v>80</v>
      </c>
      <c r="D38" s="5" t="s">
        <v>95</v>
      </c>
      <c r="E38" s="5">
        <v>15000</v>
      </c>
      <c r="F38" s="5">
        <v>8984.7600999999995</v>
      </c>
      <c r="G38" s="5" t="s">
        <v>115</v>
      </c>
      <c r="H38" s="5" t="s">
        <v>91</v>
      </c>
    </row>
    <row r="39" spans="1:8" ht="20.05" customHeight="1" x14ac:dyDescent="0.3">
      <c r="A39" s="5" t="s">
        <v>108</v>
      </c>
      <c r="B39" s="5" t="s">
        <v>116</v>
      </c>
      <c r="C39" s="5" t="s">
        <v>13</v>
      </c>
      <c r="D39" s="5" t="s">
        <v>117</v>
      </c>
      <c r="E39" s="5">
        <v>5000</v>
      </c>
      <c r="F39" s="5">
        <v>2000</v>
      </c>
      <c r="G39" s="5" t="s">
        <v>118</v>
      </c>
      <c r="H39" s="5" t="s">
        <v>91</v>
      </c>
    </row>
    <row r="40" spans="1:8" ht="20.05" customHeight="1" x14ac:dyDescent="0.3">
      <c r="A40" s="5" t="s">
        <v>108</v>
      </c>
      <c r="B40" s="5" t="s">
        <v>119</v>
      </c>
      <c r="C40" s="5" t="s">
        <v>120</v>
      </c>
      <c r="D40" s="5" t="s">
        <v>51</v>
      </c>
      <c r="E40" s="5">
        <v>7200</v>
      </c>
      <c r="F40" s="5">
        <v>4740</v>
      </c>
      <c r="G40" s="5" t="s">
        <v>121</v>
      </c>
      <c r="H40" s="5" t="s">
        <v>122</v>
      </c>
    </row>
    <row r="41" spans="1:8" ht="20.05" customHeight="1" x14ac:dyDescent="0.3">
      <c r="A41" s="4" t="s">
        <v>123</v>
      </c>
      <c r="B41" s="5" t="s">
        <v>124</v>
      </c>
      <c r="C41" s="5" t="s">
        <v>8</v>
      </c>
      <c r="D41" s="5" t="s">
        <v>125</v>
      </c>
      <c r="E41" s="5">
        <v>50000</v>
      </c>
      <c r="F41" s="5">
        <v>25248</v>
      </c>
      <c r="G41" s="5" t="s">
        <v>126</v>
      </c>
      <c r="H41" s="5" t="s">
        <v>127</v>
      </c>
    </row>
    <row r="42" spans="1:8" ht="20.05" customHeight="1" x14ac:dyDescent="0.3">
      <c r="A42" s="4" t="s">
        <v>123</v>
      </c>
      <c r="B42" s="5" t="s">
        <v>124</v>
      </c>
      <c r="C42" s="5" t="s">
        <v>8</v>
      </c>
      <c r="D42" s="5" t="s">
        <v>128</v>
      </c>
      <c r="E42" s="5">
        <v>50000</v>
      </c>
      <c r="F42" s="5">
        <v>24170</v>
      </c>
      <c r="G42" s="5" t="s">
        <v>126</v>
      </c>
      <c r="H42" s="5" t="s">
        <v>127</v>
      </c>
    </row>
    <row r="43" spans="1:8" ht="20.05" customHeight="1" x14ac:dyDescent="0.3">
      <c r="A43" s="4" t="s">
        <v>123</v>
      </c>
      <c r="B43" s="5" t="s">
        <v>129</v>
      </c>
      <c r="C43" s="5" t="s">
        <v>8</v>
      </c>
      <c r="D43" s="5" t="s">
        <v>130</v>
      </c>
      <c r="E43" s="5">
        <f>200000-E44</f>
        <v>191540</v>
      </c>
      <c r="F43" s="5">
        <v>165300</v>
      </c>
      <c r="G43" s="5" t="s">
        <v>131</v>
      </c>
      <c r="H43" s="5" t="s">
        <v>107</v>
      </c>
    </row>
    <row r="44" spans="1:8" ht="20.05" customHeight="1" x14ac:dyDescent="0.3">
      <c r="A44" s="4" t="s">
        <v>123</v>
      </c>
      <c r="B44" s="5" t="s">
        <v>129</v>
      </c>
      <c r="C44" s="5" t="s">
        <v>8</v>
      </c>
      <c r="D44" s="5" t="s">
        <v>132</v>
      </c>
      <c r="E44" s="5">
        <v>8460</v>
      </c>
      <c r="F44" s="5">
        <v>8460</v>
      </c>
      <c r="G44" s="5" t="s">
        <v>131</v>
      </c>
      <c r="H44" s="5" t="s">
        <v>107</v>
      </c>
    </row>
    <row r="45" spans="1:8" ht="20.05" customHeight="1" x14ac:dyDescent="0.3">
      <c r="A45" s="4" t="s">
        <v>123</v>
      </c>
      <c r="B45" s="5" t="s">
        <v>133</v>
      </c>
      <c r="C45" s="5" t="s">
        <v>80</v>
      </c>
      <c r="D45" s="5" t="s">
        <v>134</v>
      </c>
      <c r="E45" s="5">
        <v>70000</v>
      </c>
      <c r="F45" s="5">
        <v>43523</v>
      </c>
      <c r="G45" s="5" t="s">
        <v>135</v>
      </c>
      <c r="H45" s="5" t="s">
        <v>30</v>
      </c>
    </row>
    <row r="46" spans="1:8" ht="20.05" customHeight="1" x14ac:dyDescent="0.3">
      <c r="A46" s="4" t="s">
        <v>123</v>
      </c>
      <c r="B46" s="5"/>
      <c r="C46" s="5" t="s">
        <v>13</v>
      </c>
      <c r="D46" s="5" t="s">
        <v>136</v>
      </c>
      <c r="E46" s="5">
        <v>10000</v>
      </c>
      <c r="F46" s="5">
        <v>0</v>
      </c>
      <c r="G46" s="5" t="s">
        <v>137</v>
      </c>
      <c r="H46" s="5" t="s">
        <v>91</v>
      </c>
    </row>
    <row r="47" spans="1:8" ht="20.05" customHeight="1" x14ac:dyDescent="0.3">
      <c r="A47" s="4" t="s">
        <v>123</v>
      </c>
      <c r="B47" s="5" t="s">
        <v>138</v>
      </c>
      <c r="C47" s="5" t="s">
        <v>8</v>
      </c>
      <c r="D47" s="5" t="s">
        <v>110</v>
      </c>
      <c r="E47" s="5">
        <v>93000</v>
      </c>
      <c r="F47" s="5">
        <v>26800</v>
      </c>
      <c r="G47" s="5" t="s">
        <v>139</v>
      </c>
      <c r="H47" s="5" t="s">
        <v>102</v>
      </c>
    </row>
    <row r="48" spans="1:8" ht="20.05" customHeight="1" x14ac:dyDescent="0.3">
      <c r="A48" s="4" t="s">
        <v>123</v>
      </c>
      <c r="B48" s="5"/>
      <c r="C48" s="5" t="s">
        <v>13</v>
      </c>
      <c r="D48" s="5" t="s">
        <v>112</v>
      </c>
      <c r="E48" s="5">
        <v>5000</v>
      </c>
      <c r="F48" s="5">
        <v>1000</v>
      </c>
      <c r="G48" s="5" t="s">
        <v>113</v>
      </c>
      <c r="H48" s="5" t="s">
        <v>91</v>
      </c>
    </row>
    <row r="49" spans="1:8" ht="20.05" customHeight="1" x14ac:dyDescent="0.3">
      <c r="A49" s="4" t="s">
        <v>123</v>
      </c>
      <c r="B49" s="5" t="s">
        <v>140</v>
      </c>
      <c r="C49" s="5" t="s">
        <v>8</v>
      </c>
      <c r="D49" s="5" t="s">
        <v>141</v>
      </c>
      <c r="E49" s="5">
        <v>104000</v>
      </c>
      <c r="F49" s="5">
        <v>48000</v>
      </c>
      <c r="G49" s="5" t="s">
        <v>142</v>
      </c>
      <c r="H49" s="5" t="s">
        <v>83</v>
      </c>
    </row>
    <row r="50" spans="1:8" ht="20.05" customHeight="1" x14ac:dyDescent="0.3">
      <c r="A50" s="4" t="s">
        <v>123</v>
      </c>
      <c r="B50" s="5" t="s">
        <v>143</v>
      </c>
      <c r="C50" s="5" t="s">
        <v>8</v>
      </c>
      <c r="D50" s="5" t="s">
        <v>144</v>
      </c>
      <c r="E50" s="5">
        <v>44000</v>
      </c>
      <c r="F50" s="5">
        <v>44000</v>
      </c>
      <c r="G50" s="5" t="s">
        <v>145</v>
      </c>
      <c r="H50" s="5" t="s">
        <v>16</v>
      </c>
    </row>
    <row r="51" spans="1:8" ht="20.05" customHeight="1" x14ac:dyDescent="0.3">
      <c r="A51" s="4" t="s">
        <v>123</v>
      </c>
      <c r="B51" s="5" t="s">
        <v>146</v>
      </c>
      <c r="C51" s="5" t="s">
        <v>8</v>
      </c>
      <c r="D51" s="5" t="s">
        <v>141</v>
      </c>
      <c r="E51" s="5">
        <v>100000</v>
      </c>
      <c r="F51" s="5">
        <v>38600</v>
      </c>
      <c r="G51" s="5" t="s">
        <v>147</v>
      </c>
      <c r="H51" s="5" t="s">
        <v>83</v>
      </c>
    </row>
    <row r="52" spans="1:8" ht="20.05" customHeight="1" x14ac:dyDescent="0.3">
      <c r="A52" s="4" t="s">
        <v>123</v>
      </c>
      <c r="B52" s="5" t="s">
        <v>148</v>
      </c>
      <c r="C52" s="5" t="s">
        <v>8</v>
      </c>
      <c r="D52" s="5" t="s">
        <v>141</v>
      </c>
      <c r="E52" s="5">
        <v>92000</v>
      </c>
      <c r="F52" s="5">
        <v>13500</v>
      </c>
      <c r="G52" s="5" t="s">
        <v>149</v>
      </c>
      <c r="H52" s="5" t="s">
        <v>150</v>
      </c>
    </row>
    <row r="53" spans="1:8" ht="20.05" customHeight="1" x14ac:dyDescent="0.3">
      <c r="A53" s="4" t="s">
        <v>123</v>
      </c>
      <c r="B53" s="5"/>
      <c r="C53" s="5" t="s">
        <v>13</v>
      </c>
      <c r="D53" s="5" t="s">
        <v>151</v>
      </c>
      <c r="E53" s="5">
        <v>20000</v>
      </c>
      <c r="F53" s="5">
        <v>7619.8</v>
      </c>
      <c r="G53" s="5" t="s">
        <v>152</v>
      </c>
      <c r="H53" s="5" t="s">
        <v>91</v>
      </c>
    </row>
    <row r="54" spans="1:8" ht="20.05" customHeight="1" x14ac:dyDescent="0.3">
      <c r="A54" s="4" t="s">
        <v>123</v>
      </c>
      <c r="B54" s="5"/>
      <c r="C54" s="5" t="s">
        <v>13</v>
      </c>
      <c r="D54" s="5" t="s">
        <v>153</v>
      </c>
      <c r="E54" s="5">
        <v>15000</v>
      </c>
      <c r="F54" s="5">
        <v>6443.15</v>
      </c>
      <c r="G54" s="5" t="s">
        <v>154</v>
      </c>
      <c r="H54" s="5" t="s">
        <v>91</v>
      </c>
    </row>
    <row r="55" spans="1:8" ht="20.05" customHeight="1" x14ac:dyDescent="0.3">
      <c r="A55" s="4" t="s">
        <v>123</v>
      </c>
      <c r="B55" s="5" t="s">
        <v>155</v>
      </c>
      <c r="C55" s="5" t="s">
        <v>80</v>
      </c>
      <c r="D55" s="5" t="s">
        <v>134</v>
      </c>
      <c r="E55" s="5">
        <v>30000</v>
      </c>
      <c r="F55" s="5">
        <v>29500</v>
      </c>
      <c r="G55" s="5" t="s">
        <v>156</v>
      </c>
      <c r="H55" s="5" t="s">
        <v>30</v>
      </c>
    </row>
    <row r="56" spans="1:8" ht="20.05" customHeight="1" x14ac:dyDescent="0.3">
      <c r="A56" s="4" t="s">
        <v>123</v>
      </c>
      <c r="B56" s="5" t="s">
        <v>157</v>
      </c>
      <c r="C56" s="5" t="s">
        <v>80</v>
      </c>
      <c r="D56" s="5" t="s">
        <v>110</v>
      </c>
      <c r="E56" s="5">
        <v>105000</v>
      </c>
      <c r="F56" s="5">
        <v>86200</v>
      </c>
      <c r="G56" s="5" t="s">
        <v>158</v>
      </c>
      <c r="H56" s="5" t="s">
        <v>159</v>
      </c>
    </row>
    <row r="57" spans="1:8" ht="20.05" customHeight="1" x14ac:dyDescent="0.3">
      <c r="A57" s="4" t="s">
        <v>123</v>
      </c>
      <c r="B57" s="5" t="s">
        <v>160</v>
      </c>
      <c r="C57" s="5" t="s">
        <v>80</v>
      </c>
      <c r="D57" s="5" t="s">
        <v>161</v>
      </c>
      <c r="E57" s="5">
        <v>55000</v>
      </c>
      <c r="F57" s="5">
        <v>39000</v>
      </c>
      <c r="G57" s="5" t="s">
        <v>162</v>
      </c>
      <c r="H57" s="5" t="s">
        <v>87</v>
      </c>
    </row>
    <row r="58" spans="1:8" ht="20.05" customHeight="1" x14ac:dyDescent="0.3">
      <c r="A58" s="4" t="s">
        <v>123</v>
      </c>
      <c r="B58" s="5" t="s">
        <v>163</v>
      </c>
      <c r="C58" s="5" t="s">
        <v>120</v>
      </c>
      <c r="D58" s="5" t="s">
        <v>164</v>
      </c>
      <c r="E58" s="5">
        <v>20000</v>
      </c>
      <c r="F58" s="5">
        <v>19600</v>
      </c>
      <c r="G58" s="5" t="s">
        <v>165</v>
      </c>
      <c r="H58" s="5" t="s">
        <v>16</v>
      </c>
    </row>
    <row r="59" spans="1:8" ht="20.05" customHeight="1" x14ac:dyDescent="0.3">
      <c r="A59" s="4" t="s">
        <v>123</v>
      </c>
      <c r="B59" s="5" t="s">
        <v>166</v>
      </c>
      <c r="C59" s="5" t="s">
        <v>13</v>
      </c>
      <c r="D59" s="5" t="s">
        <v>167</v>
      </c>
      <c r="E59" s="5">
        <v>33000</v>
      </c>
      <c r="F59" s="5">
        <v>19229.12</v>
      </c>
      <c r="G59" s="5" t="s">
        <v>168</v>
      </c>
      <c r="H59" s="5" t="s">
        <v>91</v>
      </c>
    </row>
    <row r="60" spans="1:8" ht="20.05" customHeight="1" x14ac:dyDescent="0.3">
      <c r="A60" s="4" t="s">
        <v>123</v>
      </c>
      <c r="B60" s="5" t="s">
        <v>160</v>
      </c>
      <c r="C60" s="5" t="s">
        <v>80</v>
      </c>
      <c r="D60" s="5" t="s">
        <v>169</v>
      </c>
      <c r="E60" s="5">
        <v>40000</v>
      </c>
      <c r="F60" s="5">
        <v>40000</v>
      </c>
      <c r="G60" s="5" t="s">
        <v>170</v>
      </c>
      <c r="H60" s="5" t="s">
        <v>87</v>
      </c>
    </row>
    <row r="61" spans="1:8" ht="20.05" customHeight="1" x14ac:dyDescent="0.3">
      <c r="A61" s="4" t="s">
        <v>123</v>
      </c>
      <c r="B61" s="5"/>
      <c r="C61" s="5" t="s">
        <v>19</v>
      </c>
      <c r="D61" s="5" t="s">
        <v>171</v>
      </c>
      <c r="E61" s="5">
        <v>5000</v>
      </c>
      <c r="F61" s="5">
        <v>5000</v>
      </c>
      <c r="G61" s="5" t="s">
        <v>172</v>
      </c>
      <c r="H61" s="5" t="s">
        <v>16</v>
      </c>
    </row>
    <row r="62" spans="1:8" ht="20.05" customHeight="1" x14ac:dyDescent="0.3">
      <c r="A62" s="4" t="s">
        <v>123</v>
      </c>
      <c r="B62" s="5"/>
      <c r="C62" s="5" t="s">
        <v>19</v>
      </c>
      <c r="D62" s="5" t="s">
        <v>173</v>
      </c>
      <c r="E62" s="5">
        <v>5000</v>
      </c>
      <c r="F62" s="5">
        <v>5000</v>
      </c>
      <c r="G62" s="5" t="s">
        <v>174</v>
      </c>
      <c r="H62" s="5" t="s">
        <v>16</v>
      </c>
    </row>
    <row r="63" spans="1:8" ht="20.05" customHeight="1" x14ac:dyDescent="0.3">
      <c r="A63" s="4" t="s">
        <v>123</v>
      </c>
      <c r="B63" s="5"/>
      <c r="C63" s="5" t="s">
        <v>19</v>
      </c>
      <c r="D63" s="5" t="s">
        <v>175</v>
      </c>
      <c r="E63" s="5">
        <v>7500</v>
      </c>
      <c r="F63" s="5">
        <v>7500</v>
      </c>
      <c r="G63" s="5" t="s">
        <v>176</v>
      </c>
      <c r="H63" s="5" t="s">
        <v>25</v>
      </c>
    </row>
    <row r="64" spans="1:8" ht="20.05" customHeight="1" x14ac:dyDescent="0.3">
      <c r="A64" s="19" t="s">
        <v>177</v>
      </c>
      <c r="B64" s="5" t="s">
        <v>178</v>
      </c>
      <c r="C64" s="5" t="s">
        <v>13</v>
      </c>
      <c r="D64" s="5" t="s">
        <v>179</v>
      </c>
      <c r="E64" s="7">
        <v>30000</v>
      </c>
      <c r="F64" s="7">
        <v>-1.8189894035458601E-12</v>
      </c>
      <c r="G64" s="5" t="s">
        <v>180</v>
      </c>
      <c r="H64" s="5">
        <v>5</v>
      </c>
    </row>
    <row r="65" spans="1:8" ht="20.05" customHeight="1" x14ac:dyDescent="0.3">
      <c r="A65" s="19"/>
      <c r="B65" s="5" t="s">
        <v>181</v>
      </c>
      <c r="C65" s="5" t="s">
        <v>8</v>
      </c>
      <c r="D65" s="5" t="s">
        <v>182</v>
      </c>
      <c r="E65" s="7">
        <v>100000</v>
      </c>
      <c r="F65" s="7">
        <v>47500</v>
      </c>
      <c r="G65" s="5" t="s">
        <v>183</v>
      </c>
      <c r="H65" s="5">
        <v>9</v>
      </c>
    </row>
    <row r="66" spans="1:8" ht="20.05" customHeight="1" x14ac:dyDescent="0.3">
      <c r="A66" s="19"/>
      <c r="B66" s="5" t="s">
        <v>184</v>
      </c>
      <c r="C66" s="5" t="s">
        <v>8</v>
      </c>
      <c r="D66" s="5" t="s">
        <v>182</v>
      </c>
      <c r="E66" s="7">
        <v>95000</v>
      </c>
      <c r="F66" s="7">
        <v>70000</v>
      </c>
      <c r="G66" s="5" t="s">
        <v>185</v>
      </c>
      <c r="H66" s="5">
        <v>8</v>
      </c>
    </row>
    <row r="67" spans="1:8" ht="20.05" customHeight="1" x14ac:dyDescent="0.3">
      <c r="A67" s="19"/>
      <c r="B67" s="5" t="s">
        <v>186</v>
      </c>
      <c r="C67" s="5" t="s">
        <v>80</v>
      </c>
      <c r="D67" s="5" t="s">
        <v>182</v>
      </c>
      <c r="E67" s="7">
        <v>20500</v>
      </c>
      <c r="F67" s="7">
        <v>0</v>
      </c>
      <c r="G67" s="5" t="s">
        <v>187</v>
      </c>
      <c r="H67" s="5">
        <v>3</v>
      </c>
    </row>
    <row r="68" spans="1:8" ht="20.05" customHeight="1" x14ac:dyDescent="0.3">
      <c r="A68" s="19"/>
      <c r="B68" s="5" t="s">
        <v>188</v>
      </c>
      <c r="C68" s="5" t="s">
        <v>8</v>
      </c>
      <c r="D68" s="5" t="s">
        <v>182</v>
      </c>
      <c r="E68" s="7">
        <v>145000</v>
      </c>
      <c r="F68" s="7">
        <v>60000</v>
      </c>
      <c r="G68" s="7" t="s">
        <v>189</v>
      </c>
      <c r="H68" s="5">
        <v>20</v>
      </c>
    </row>
    <row r="69" spans="1:8" s="2" customFormat="1" ht="20.05" customHeight="1" x14ac:dyDescent="0.3">
      <c r="A69" s="19"/>
      <c r="B69" s="5" t="s">
        <v>178</v>
      </c>
      <c r="C69" s="5" t="s">
        <v>190</v>
      </c>
      <c r="D69" s="5" t="s">
        <v>191</v>
      </c>
      <c r="E69" s="7">
        <v>45900</v>
      </c>
      <c r="F69" s="7">
        <v>0</v>
      </c>
      <c r="G69" s="7" t="s">
        <v>192</v>
      </c>
      <c r="H69" s="5">
        <v>7</v>
      </c>
    </row>
    <row r="70" spans="1:8" ht="20.05" customHeight="1" x14ac:dyDescent="0.3">
      <c r="A70" s="19"/>
      <c r="B70" s="5" t="s">
        <v>188</v>
      </c>
      <c r="C70" s="5" t="s">
        <v>8</v>
      </c>
      <c r="D70" s="5" t="s">
        <v>193</v>
      </c>
      <c r="E70" s="7">
        <v>135000</v>
      </c>
      <c r="F70" s="7">
        <v>62600</v>
      </c>
      <c r="G70" s="7" t="s">
        <v>194</v>
      </c>
      <c r="H70" s="5">
        <v>20</v>
      </c>
    </row>
    <row r="71" spans="1:8" ht="20.05" customHeight="1" x14ac:dyDescent="0.3">
      <c r="A71" s="19"/>
      <c r="B71" s="5" t="s">
        <v>195</v>
      </c>
      <c r="C71" s="5" t="s">
        <v>8</v>
      </c>
      <c r="D71" s="5" t="s">
        <v>196</v>
      </c>
      <c r="E71" s="7">
        <v>165000</v>
      </c>
      <c r="F71" s="7">
        <v>34718.5985</v>
      </c>
      <c r="G71" s="7" t="s">
        <v>197</v>
      </c>
      <c r="H71" s="5">
        <v>20</v>
      </c>
    </row>
    <row r="72" spans="1:8" ht="20.05" customHeight="1" x14ac:dyDescent="0.3">
      <c r="A72" s="19"/>
      <c r="B72" s="5" t="s">
        <v>198</v>
      </c>
      <c r="C72" s="5" t="s">
        <v>19</v>
      </c>
      <c r="D72" s="5" t="s">
        <v>199</v>
      </c>
      <c r="E72" s="7">
        <v>12000</v>
      </c>
      <c r="F72" s="7">
        <v>11950</v>
      </c>
      <c r="G72" s="7" t="s">
        <v>200</v>
      </c>
      <c r="H72" s="5">
        <v>1</v>
      </c>
    </row>
    <row r="73" spans="1:8" ht="20.05" customHeight="1" x14ac:dyDescent="0.3">
      <c r="A73" s="19"/>
      <c r="B73" s="5" t="s">
        <v>201</v>
      </c>
      <c r="C73" s="5" t="s">
        <v>19</v>
      </c>
      <c r="D73" s="5" t="s">
        <v>202</v>
      </c>
      <c r="E73" s="7">
        <v>15000</v>
      </c>
      <c r="F73" s="7">
        <v>15000</v>
      </c>
      <c r="G73" s="7" t="s">
        <v>203</v>
      </c>
      <c r="H73" s="5">
        <v>2</v>
      </c>
    </row>
    <row r="74" spans="1:8" ht="20.05" customHeight="1" x14ac:dyDescent="0.3">
      <c r="A74" s="19"/>
      <c r="B74" s="5" t="s">
        <v>204</v>
      </c>
      <c r="C74" s="5" t="s">
        <v>8</v>
      </c>
      <c r="D74" s="5" t="s">
        <v>205</v>
      </c>
      <c r="E74" s="7">
        <v>60000</v>
      </c>
      <c r="F74" s="7">
        <v>30000</v>
      </c>
      <c r="G74" s="7" t="s">
        <v>206</v>
      </c>
      <c r="H74" s="5">
        <v>5</v>
      </c>
    </row>
    <row r="75" spans="1:8" s="2" customFormat="1" ht="20.05" customHeight="1" x14ac:dyDescent="0.3">
      <c r="A75" s="19"/>
      <c r="B75" s="5" t="s">
        <v>207</v>
      </c>
      <c r="C75" s="5" t="s">
        <v>8</v>
      </c>
      <c r="D75" s="5" t="s">
        <v>208</v>
      </c>
      <c r="E75" s="7">
        <v>20000</v>
      </c>
      <c r="F75" s="7">
        <v>0</v>
      </c>
      <c r="G75" s="5" t="s">
        <v>209</v>
      </c>
      <c r="H75" s="5">
        <v>13</v>
      </c>
    </row>
    <row r="76" spans="1:8" ht="20.05" customHeight="1" x14ac:dyDescent="0.3">
      <c r="A76" s="19"/>
      <c r="B76" s="5" t="s">
        <v>210</v>
      </c>
      <c r="C76" s="5" t="s">
        <v>8</v>
      </c>
      <c r="D76" s="5" t="s">
        <v>202</v>
      </c>
      <c r="E76" s="7">
        <v>65000</v>
      </c>
      <c r="F76" s="7">
        <v>62500</v>
      </c>
      <c r="G76" s="5" t="s">
        <v>211</v>
      </c>
      <c r="H76" s="5">
        <v>5</v>
      </c>
    </row>
    <row r="77" spans="1:8" ht="20.05" customHeight="1" x14ac:dyDescent="0.3">
      <c r="A77" s="19"/>
      <c r="B77" s="5" t="s">
        <v>212</v>
      </c>
      <c r="C77" s="5" t="s">
        <v>213</v>
      </c>
      <c r="D77" s="5"/>
      <c r="E77" s="7">
        <v>200000</v>
      </c>
      <c r="F77" s="7">
        <v>80000</v>
      </c>
      <c r="G77" s="5" t="s">
        <v>214</v>
      </c>
      <c r="H77" s="5">
        <v>3</v>
      </c>
    </row>
    <row r="78" spans="1:8" ht="20.05" customHeight="1" x14ac:dyDescent="0.3">
      <c r="A78" s="19"/>
      <c r="B78" s="5" t="s">
        <v>215</v>
      </c>
      <c r="C78" s="5" t="s">
        <v>8</v>
      </c>
      <c r="D78" s="5" t="s">
        <v>196</v>
      </c>
      <c r="E78" s="7">
        <v>180000</v>
      </c>
      <c r="F78" s="7">
        <v>85490.849900000001</v>
      </c>
      <c r="G78" s="5" t="s">
        <v>216</v>
      </c>
      <c r="H78" s="5">
        <v>20</v>
      </c>
    </row>
    <row r="79" spans="1:8" ht="20.05" customHeight="1" x14ac:dyDescent="0.3">
      <c r="A79" s="19"/>
      <c r="B79" s="5" t="s">
        <v>217</v>
      </c>
      <c r="C79" s="5" t="s">
        <v>213</v>
      </c>
      <c r="D79" s="5"/>
      <c r="E79" s="7">
        <v>200000</v>
      </c>
      <c r="F79" s="7">
        <v>120000</v>
      </c>
      <c r="G79" s="5" t="s">
        <v>218</v>
      </c>
      <c r="H79" s="5">
        <v>3</v>
      </c>
    </row>
    <row r="80" spans="1:8" ht="20.05" customHeight="1" x14ac:dyDescent="0.3">
      <c r="A80" s="19"/>
      <c r="B80" s="5" t="s">
        <v>219</v>
      </c>
      <c r="C80" s="5" t="s">
        <v>19</v>
      </c>
      <c r="D80" s="5" t="s">
        <v>220</v>
      </c>
      <c r="E80" s="7">
        <v>15000</v>
      </c>
      <c r="F80" s="7">
        <v>15000</v>
      </c>
      <c r="G80" s="5" t="s">
        <v>221</v>
      </c>
      <c r="H80" s="5">
        <v>1</v>
      </c>
    </row>
    <row r="81" spans="1:8" ht="20.05" customHeight="1" x14ac:dyDescent="0.3">
      <c r="A81" s="19"/>
      <c r="B81" s="5" t="s">
        <v>204</v>
      </c>
      <c r="C81" s="5" t="s">
        <v>8</v>
      </c>
      <c r="D81" s="5" t="s">
        <v>222</v>
      </c>
      <c r="E81" s="7">
        <v>25000</v>
      </c>
      <c r="F81" s="7">
        <v>14437.5</v>
      </c>
      <c r="G81" s="5" t="s">
        <v>223</v>
      </c>
      <c r="H81" s="5">
        <v>5.5</v>
      </c>
    </row>
    <row r="82" spans="1:8" ht="20.05" customHeight="1" x14ac:dyDescent="0.3">
      <c r="A82" s="19"/>
      <c r="B82" s="5" t="s">
        <v>224</v>
      </c>
      <c r="C82" s="5" t="s">
        <v>225</v>
      </c>
      <c r="D82" s="5" t="s">
        <v>199</v>
      </c>
      <c r="E82" s="7">
        <v>10000</v>
      </c>
      <c r="F82" s="7">
        <v>10000</v>
      </c>
      <c r="G82" s="5" t="s">
        <v>226</v>
      </c>
      <c r="H82" s="5">
        <v>0.5</v>
      </c>
    </row>
    <row r="83" spans="1:8" ht="20.05" customHeight="1" x14ac:dyDescent="0.3">
      <c r="A83" s="19"/>
      <c r="B83" s="5" t="s">
        <v>227</v>
      </c>
      <c r="C83" s="5" t="s">
        <v>213</v>
      </c>
      <c r="D83" s="5"/>
      <c r="E83" s="7">
        <v>80000</v>
      </c>
      <c r="F83" s="7">
        <v>80000</v>
      </c>
      <c r="G83" s="5" t="s">
        <v>228</v>
      </c>
      <c r="H83" s="5">
        <v>3</v>
      </c>
    </row>
    <row r="84" spans="1:8" s="2" customFormat="1" ht="20.05" customHeight="1" x14ac:dyDescent="0.3">
      <c r="A84" s="19"/>
      <c r="B84" s="5" t="s">
        <v>229</v>
      </c>
      <c r="C84" s="5" t="s">
        <v>230</v>
      </c>
      <c r="D84" s="5" t="s">
        <v>202</v>
      </c>
      <c r="E84" s="7">
        <v>15000</v>
      </c>
      <c r="F84" s="7">
        <v>0</v>
      </c>
      <c r="G84" s="5" t="s">
        <v>231</v>
      </c>
      <c r="H84" s="5">
        <v>1</v>
      </c>
    </row>
    <row r="85" spans="1:8" ht="20.05" customHeight="1" x14ac:dyDescent="0.3">
      <c r="A85" s="19"/>
      <c r="B85" s="5" t="s">
        <v>232</v>
      </c>
      <c r="C85" s="5" t="s">
        <v>80</v>
      </c>
      <c r="D85" s="5" t="s">
        <v>54</v>
      </c>
      <c r="E85" s="7">
        <v>20000</v>
      </c>
      <c r="F85" s="7">
        <v>18520</v>
      </c>
      <c r="G85" s="5" t="s">
        <v>233</v>
      </c>
      <c r="H85" s="5">
        <v>10</v>
      </c>
    </row>
    <row r="86" spans="1:8" ht="20.05" customHeight="1" x14ac:dyDescent="0.3">
      <c r="A86" s="19"/>
      <c r="B86" s="5" t="s">
        <v>234</v>
      </c>
      <c r="C86" s="5" t="s">
        <v>235</v>
      </c>
      <c r="D86" s="5"/>
      <c r="E86" s="7">
        <v>132000</v>
      </c>
      <c r="F86" s="7">
        <v>132000</v>
      </c>
      <c r="G86" s="5" t="s">
        <v>236</v>
      </c>
      <c r="H86" s="5">
        <v>3</v>
      </c>
    </row>
    <row r="87" spans="1:8" ht="20.05" customHeight="1" x14ac:dyDescent="0.3">
      <c r="A87" s="19"/>
      <c r="B87" s="5" t="s">
        <v>237</v>
      </c>
      <c r="C87" s="5" t="s">
        <v>238</v>
      </c>
      <c r="D87" s="5" t="s">
        <v>239</v>
      </c>
      <c r="E87" s="7">
        <v>40000</v>
      </c>
      <c r="F87" s="7">
        <v>39990</v>
      </c>
      <c r="G87" s="5" t="s">
        <v>240</v>
      </c>
      <c r="H87" s="5">
        <v>1</v>
      </c>
    </row>
    <row r="88" spans="1:8" ht="20.05" customHeight="1" x14ac:dyDescent="0.3">
      <c r="A88" s="19"/>
      <c r="B88" s="5" t="s">
        <v>241</v>
      </c>
      <c r="C88" s="5" t="s">
        <v>8</v>
      </c>
      <c r="D88" s="5" t="s">
        <v>191</v>
      </c>
      <c r="E88" s="7">
        <v>20000</v>
      </c>
      <c r="F88" s="7">
        <v>20000</v>
      </c>
      <c r="G88" s="5" t="s">
        <v>242</v>
      </c>
      <c r="H88" s="5">
        <v>11</v>
      </c>
    </row>
    <row r="89" spans="1:8" ht="20.05" customHeight="1" x14ac:dyDescent="0.3">
      <c r="A89" s="19"/>
      <c r="B89" s="5" t="s">
        <v>243</v>
      </c>
      <c r="C89" s="5" t="s">
        <v>238</v>
      </c>
      <c r="D89" s="5" t="s">
        <v>244</v>
      </c>
      <c r="E89" s="7">
        <v>30000</v>
      </c>
      <c r="F89" s="7">
        <v>30000</v>
      </c>
      <c r="G89" s="5" t="s">
        <v>245</v>
      </c>
      <c r="H89" s="5">
        <v>1</v>
      </c>
    </row>
    <row r="90" spans="1:8" ht="20.05" customHeight="1" x14ac:dyDescent="0.3">
      <c r="A90" s="19"/>
      <c r="B90" s="5" t="s">
        <v>246</v>
      </c>
      <c r="C90" s="5" t="s">
        <v>238</v>
      </c>
      <c r="D90" s="5" t="s">
        <v>247</v>
      </c>
      <c r="E90" s="7">
        <v>20000</v>
      </c>
      <c r="F90" s="7">
        <v>20000</v>
      </c>
      <c r="G90" s="5" t="s">
        <v>248</v>
      </c>
      <c r="H90" s="5">
        <v>2</v>
      </c>
    </row>
    <row r="91" spans="1:8" ht="20.05" customHeight="1" x14ac:dyDescent="0.3">
      <c r="A91" s="19"/>
      <c r="B91" s="5" t="s">
        <v>249</v>
      </c>
      <c r="C91" s="5" t="s">
        <v>8</v>
      </c>
      <c r="D91" s="5" t="s">
        <v>182</v>
      </c>
      <c r="E91" s="7">
        <v>10000</v>
      </c>
      <c r="F91" s="7">
        <v>3972.2928000000002</v>
      </c>
      <c r="G91" s="5" t="s">
        <v>250</v>
      </c>
      <c r="H91" s="5">
        <v>5</v>
      </c>
    </row>
    <row r="92" spans="1:8" s="2" customFormat="1" ht="20.05" customHeight="1" x14ac:dyDescent="0.3">
      <c r="A92" s="19"/>
      <c r="B92" s="5" t="s">
        <v>229</v>
      </c>
      <c r="C92" s="5" t="s">
        <v>230</v>
      </c>
      <c r="D92" s="5" t="s">
        <v>202</v>
      </c>
      <c r="E92" s="7">
        <v>15000</v>
      </c>
      <c r="F92" s="7">
        <v>11000</v>
      </c>
      <c r="G92" s="5" t="s">
        <v>251</v>
      </c>
      <c r="H92" s="5">
        <v>1</v>
      </c>
    </row>
    <row r="93" spans="1:8" ht="20.05" customHeight="1" x14ac:dyDescent="0.3">
      <c r="A93" s="19"/>
      <c r="B93" s="5" t="s">
        <v>252</v>
      </c>
      <c r="C93" s="5" t="s">
        <v>13</v>
      </c>
      <c r="D93" s="5" t="s">
        <v>253</v>
      </c>
      <c r="E93" s="7">
        <v>18000</v>
      </c>
      <c r="F93" s="7">
        <v>16399.425673999998</v>
      </c>
      <c r="G93" s="5" t="s">
        <v>254</v>
      </c>
      <c r="H93" s="5">
        <v>5</v>
      </c>
    </row>
    <row r="94" spans="1:8" ht="20.05" customHeight="1" x14ac:dyDescent="0.3">
      <c r="A94" s="19"/>
      <c r="B94" s="5" t="s">
        <v>255</v>
      </c>
      <c r="C94" s="5" t="s">
        <v>238</v>
      </c>
      <c r="D94" s="5" t="s">
        <v>256</v>
      </c>
      <c r="E94" s="7">
        <v>20000</v>
      </c>
      <c r="F94" s="7">
        <v>20000</v>
      </c>
      <c r="G94" s="5" t="s">
        <v>257</v>
      </c>
      <c r="H94" s="5">
        <v>1</v>
      </c>
    </row>
    <row r="95" spans="1:8" ht="20.05" customHeight="1" x14ac:dyDescent="0.3">
      <c r="A95" s="19"/>
      <c r="B95" s="5" t="s">
        <v>258</v>
      </c>
      <c r="C95" s="5" t="s">
        <v>13</v>
      </c>
      <c r="D95" s="5" t="s">
        <v>259</v>
      </c>
      <c r="E95" s="7">
        <v>30000</v>
      </c>
      <c r="F95" s="7">
        <v>30000</v>
      </c>
      <c r="G95" s="5" t="s">
        <v>260</v>
      </c>
      <c r="H95" s="5">
        <v>3</v>
      </c>
    </row>
    <row r="96" spans="1:8" ht="20.05" customHeight="1" x14ac:dyDescent="0.3">
      <c r="A96" s="19"/>
      <c r="B96" s="5" t="s">
        <v>261</v>
      </c>
      <c r="C96" s="5" t="s">
        <v>8</v>
      </c>
      <c r="D96" s="5" t="s">
        <v>262</v>
      </c>
      <c r="E96" s="7">
        <v>18000</v>
      </c>
      <c r="F96" s="7">
        <v>18000</v>
      </c>
      <c r="G96" s="5" t="s">
        <v>263</v>
      </c>
      <c r="H96" s="5">
        <v>11</v>
      </c>
    </row>
    <row r="97" spans="1:8" s="2" customFormat="1" ht="20.05" customHeight="1" x14ac:dyDescent="0.3">
      <c r="A97" s="19"/>
      <c r="B97" s="5" t="s">
        <v>264</v>
      </c>
      <c r="C97" s="5" t="s">
        <v>225</v>
      </c>
      <c r="D97" s="5" t="s">
        <v>265</v>
      </c>
      <c r="E97" s="7">
        <v>13000</v>
      </c>
      <c r="F97" s="7">
        <v>0</v>
      </c>
      <c r="G97" s="5" t="s">
        <v>266</v>
      </c>
      <c r="H97" s="5">
        <v>0.5</v>
      </c>
    </row>
    <row r="98" spans="1:8" s="2" customFormat="1" ht="20.05" customHeight="1" x14ac:dyDescent="0.3">
      <c r="A98" s="19"/>
      <c r="B98" s="5" t="s">
        <v>264</v>
      </c>
      <c r="C98" s="5" t="s">
        <v>225</v>
      </c>
      <c r="D98" s="5" t="s">
        <v>265</v>
      </c>
      <c r="E98" s="7">
        <v>13000</v>
      </c>
      <c r="F98" s="7">
        <v>13000</v>
      </c>
      <c r="G98" s="5" t="s">
        <v>267</v>
      </c>
      <c r="H98" s="5">
        <v>0.5</v>
      </c>
    </row>
    <row r="99" spans="1:8" ht="20.05" customHeight="1" x14ac:dyDescent="0.3">
      <c r="A99" s="19"/>
      <c r="B99" s="5" t="s">
        <v>268</v>
      </c>
      <c r="C99" s="5" t="s">
        <v>238</v>
      </c>
      <c r="D99" s="5" t="s">
        <v>269</v>
      </c>
      <c r="E99" s="7">
        <v>30000</v>
      </c>
      <c r="F99" s="7">
        <v>20000</v>
      </c>
      <c r="G99" s="5" t="s">
        <v>270</v>
      </c>
      <c r="H99" s="5">
        <v>1</v>
      </c>
    </row>
    <row r="100" spans="1:8" ht="20.05" customHeight="1" x14ac:dyDescent="0.3">
      <c r="A100" s="19"/>
      <c r="B100" s="5" t="s">
        <v>271</v>
      </c>
      <c r="C100" s="5" t="s">
        <v>19</v>
      </c>
      <c r="D100" s="5" t="s">
        <v>272</v>
      </c>
      <c r="E100" s="7">
        <v>15000</v>
      </c>
      <c r="F100" s="7">
        <v>15000</v>
      </c>
      <c r="G100" s="5" t="s">
        <v>273</v>
      </c>
      <c r="H100" s="5">
        <v>3</v>
      </c>
    </row>
    <row r="101" spans="1:8" ht="20.05" customHeight="1" x14ac:dyDescent="0.3">
      <c r="A101" s="19"/>
      <c r="B101" s="5" t="s">
        <v>274</v>
      </c>
      <c r="C101" s="5" t="s">
        <v>19</v>
      </c>
      <c r="D101" s="5" t="s">
        <v>265</v>
      </c>
      <c r="E101" s="7">
        <v>6650</v>
      </c>
      <c r="F101" s="7">
        <v>6650</v>
      </c>
      <c r="G101" s="5" t="s">
        <v>275</v>
      </c>
      <c r="H101" s="5">
        <v>1</v>
      </c>
    </row>
    <row r="102" spans="1:8" ht="20.05" customHeight="1" x14ac:dyDescent="0.3">
      <c r="A102" s="19"/>
      <c r="B102" s="5" t="s">
        <v>276</v>
      </c>
      <c r="C102" s="5" t="s">
        <v>8</v>
      </c>
      <c r="D102" s="5" t="s">
        <v>277</v>
      </c>
      <c r="E102" s="7">
        <v>19500</v>
      </c>
      <c r="F102" s="7">
        <v>19500</v>
      </c>
      <c r="G102" s="5" t="s">
        <v>278</v>
      </c>
      <c r="H102" s="5">
        <v>11</v>
      </c>
    </row>
    <row r="103" spans="1:8" ht="20.05" customHeight="1" x14ac:dyDescent="0.3">
      <c r="A103" s="19"/>
      <c r="B103" s="5" t="s">
        <v>279</v>
      </c>
      <c r="C103" s="5" t="s">
        <v>13</v>
      </c>
      <c r="D103" s="5" t="s">
        <v>280</v>
      </c>
      <c r="E103" s="7">
        <v>21000</v>
      </c>
      <c r="F103" s="7">
        <v>21000</v>
      </c>
      <c r="G103" s="5" t="s">
        <v>281</v>
      </c>
      <c r="H103" s="5">
        <v>5</v>
      </c>
    </row>
    <row r="104" spans="1:8" ht="20.05" customHeight="1" x14ac:dyDescent="0.3">
      <c r="A104" s="19"/>
      <c r="B104" s="5" t="s">
        <v>282</v>
      </c>
      <c r="C104" s="5" t="s">
        <v>13</v>
      </c>
      <c r="D104" s="5" t="s">
        <v>63</v>
      </c>
      <c r="E104" s="7">
        <v>20000</v>
      </c>
      <c r="F104" s="7">
        <v>19100.464764</v>
      </c>
      <c r="G104" s="5" t="s">
        <v>283</v>
      </c>
      <c r="H104" s="5">
        <v>5</v>
      </c>
    </row>
    <row r="105" spans="1:8" ht="20.05" customHeight="1" x14ac:dyDescent="0.3">
      <c r="A105" s="19"/>
      <c r="B105" s="5" t="s">
        <v>284</v>
      </c>
      <c r="C105" s="5" t="s">
        <v>13</v>
      </c>
      <c r="D105" s="5" t="s">
        <v>112</v>
      </c>
      <c r="E105" s="7">
        <v>10000</v>
      </c>
      <c r="F105" s="7">
        <v>10000</v>
      </c>
      <c r="G105" s="5" t="s">
        <v>285</v>
      </c>
      <c r="H105" s="5">
        <v>10</v>
      </c>
    </row>
    <row r="106" spans="1:8" ht="20.05" customHeight="1" x14ac:dyDescent="0.3">
      <c r="A106" s="19"/>
      <c r="B106" s="5" t="s">
        <v>286</v>
      </c>
      <c r="C106" s="5" t="s">
        <v>8</v>
      </c>
      <c r="D106" s="5" t="s">
        <v>110</v>
      </c>
      <c r="E106" s="7">
        <v>60000</v>
      </c>
      <c r="F106" s="7">
        <v>3006.4703</v>
      </c>
      <c r="G106" s="5" t="s">
        <v>287</v>
      </c>
      <c r="H106" s="5">
        <v>20</v>
      </c>
    </row>
    <row r="107" spans="1:8" ht="20.05" customHeight="1" x14ac:dyDescent="0.3">
      <c r="A107" s="19"/>
      <c r="B107" s="5" t="s">
        <v>288</v>
      </c>
      <c r="C107" s="5" t="s">
        <v>19</v>
      </c>
      <c r="D107" s="5" t="s">
        <v>289</v>
      </c>
      <c r="E107" s="7">
        <v>8000</v>
      </c>
      <c r="F107" s="7">
        <v>8000</v>
      </c>
      <c r="G107" s="5" t="s">
        <v>290</v>
      </c>
      <c r="H107" s="5">
        <v>2</v>
      </c>
    </row>
    <row r="108" spans="1:8" ht="20.05" customHeight="1" x14ac:dyDescent="0.3">
      <c r="A108" s="19"/>
      <c r="B108" s="5" t="s">
        <v>198</v>
      </c>
      <c r="C108" s="5" t="s">
        <v>19</v>
      </c>
      <c r="D108" s="5" t="s">
        <v>199</v>
      </c>
      <c r="E108" s="7">
        <v>10000</v>
      </c>
      <c r="F108" s="7">
        <v>10000</v>
      </c>
      <c r="G108" s="7" t="s">
        <v>291</v>
      </c>
      <c r="H108" s="5">
        <v>1</v>
      </c>
    </row>
    <row r="109" spans="1:8" ht="20.05" customHeight="1" x14ac:dyDescent="0.3">
      <c r="A109" s="5" t="s">
        <v>292</v>
      </c>
      <c r="B109" s="5" t="s">
        <v>293</v>
      </c>
      <c r="C109" s="5" t="s">
        <v>8</v>
      </c>
      <c r="D109" s="5" t="s">
        <v>294</v>
      </c>
      <c r="E109" s="7">
        <v>187000</v>
      </c>
      <c r="F109" s="7">
        <v>5840</v>
      </c>
      <c r="G109" s="5" t="s">
        <v>295</v>
      </c>
      <c r="H109" s="5">
        <v>25</v>
      </c>
    </row>
    <row r="110" spans="1:8" ht="20.05" customHeight="1" x14ac:dyDescent="0.3">
      <c r="A110" s="5" t="s">
        <v>296</v>
      </c>
      <c r="B110" s="5" t="s">
        <v>297</v>
      </c>
      <c r="C110" s="5" t="s">
        <v>19</v>
      </c>
      <c r="D110" s="5" t="s">
        <v>193</v>
      </c>
      <c r="E110" s="7">
        <v>1000</v>
      </c>
      <c r="F110" s="7">
        <v>1000</v>
      </c>
      <c r="G110" s="7" t="s">
        <v>298</v>
      </c>
      <c r="H110" s="5">
        <v>1</v>
      </c>
    </row>
    <row r="111" spans="1:8" ht="20.05" customHeight="1" x14ac:dyDescent="0.3">
      <c r="A111" s="19" t="s">
        <v>299</v>
      </c>
      <c r="B111" s="5" t="s">
        <v>300</v>
      </c>
      <c r="C111" s="5" t="s">
        <v>19</v>
      </c>
      <c r="D111" s="5" t="s">
        <v>301</v>
      </c>
      <c r="E111" s="7">
        <v>10000</v>
      </c>
      <c r="F111" s="7">
        <v>8000</v>
      </c>
      <c r="G111" s="5" t="s">
        <v>302</v>
      </c>
      <c r="H111" s="5">
        <v>1</v>
      </c>
    </row>
    <row r="112" spans="1:8" s="2" customFormat="1" ht="20.05" customHeight="1" x14ac:dyDescent="0.3">
      <c r="A112" s="19"/>
      <c r="B112" s="5" t="s">
        <v>271</v>
      </c>
      <c r="C112" s="5" t="s">
        <v>19</v>
      </c>
      <c r="D112" s="5" t="s">
        <v>272</v>
      </c>
      <c r="E112" s="7">
        <v>1000</v>
      </c>
      <c r="F112" s="7">
        <v>0</v>
      </c>
      <c r="G112" s="5" t="s">
        <v>303</v>
      </c>
      <c r="H112" s="5">
        <v>1</v>
      </c>
    </row>
    <row r="113" spans="1:8" ht="20.05" customHeight="1" x14ac:dyDescent="0.3">
      <c r="A113" s="19"/>
      <c r="B113" s="5" t="s">
        <v>271</v>
      </c>
      <c r="C113" s="5" t="s">
        <v>19</v>
      </c>
      <c r="D113" s="5" t="s">
        <v>272</v>
      </c>
      <c r="E113" s="7">
        <v>1000</v>
      </c>
      <c r="F113" s="7">
        <v>1000</v>
      </c>
      <c r="G113" s="5" t="s">
        <v>304</v>
      </c>
      <c r="H113" s="5">
        <v>1</v>
      </c>
    </row>
    <row r="114" spans="1:8" ht="20.05" customHeight="1" x14ac:dyDescent="0.3">
      <c r="A114" s="19"/>
      <c r="B114" s="5" t="s">
        <v>305</v>
      </c>
      <c r="C114" s="5" t="s">
        <v>19</v>
      </c>
      <c r="D114" s="5" t="s">
        <v>306</v>
      </c>
      <c r="E114" s="7">
        <v>1000</v>
      </c>
      <c r="F114" s="7">
        <v>1000</v>
      </c>
      <c r="G114" s="5" t="s">
        <v>307</v>
      </c>
      <c r="H114" s="5">
        <v>1</v>
      </c>
    </row>
    <row r="115" spans="1:8" s="2" customFormat="1" ht="20.05" customHeight="1" x14ac:dyDescent="0.3">
      <c r="A115" s="19" t="s">
        <v>308</v>
      </c>
      <c r="B115" s="5" t="s">
        <v>271</v>
      </c>
      <c r="C115" s="5" t="s">
        <v>19</v>
      </c>
      <c r="D115" s="5" t="s">
        <v>272</v>
      </c>
      <c r="E115" s="7">
        <v>1000</v>
      </c>
      <c r="F115" s="7">
        <v>0</v>
      </c>
      <c r="G115" s="5" t="s">
        <v>303</v>
      </c>
      <c r="H115" s="5">
        <v>1</v>
      </c>
    </row>
    <row r="116" spans="1:8" ht="20.05" customHeight="1" x14ac:dyDescent="0.3">
      <c r="A116" s="19"/>
      <c r="B116" s="5" t="s">
        <v>271</v>
      </c>
      <c r="C116" s="5" t="s">
        <v>19</v>
      </c>
      <c r="D116" s="5" t="s">
        <v>272</v>
      </c>
      <c r="E116" s="7">
        <v>1000</v>
      </c>
      <c r="F116" s="7">
        <v>1000</v>
      </c>
      <c r="G116" s="5" t="s">
        <v>304</v>
      </c>
      <c r="H116" s="5">
        <v>1</v>
      </c>
    </row>
    <row r="117" spans="1:8" s="2" customFormat="1" ht="20.05" customHeight="1" x14ac:dyDescent="0.3">
      <c r="A117" s="19"/>
      <c r="B117" s="5" t="s">
        <v>309</v>
      </c>
      <c r="C117" s="5" t="s">
        <v>19</v>
      </c>
      <c r="D117" s="5" t="s">
        <v>310</v>
      </c>
      <c r="E117" s="7">
        <v>4950</v>
      </c>
      <c r="F117" s="7">
        <v>0</v>
      </c>
      <c r="G117" s="7" t="s">
        <v>311</v>
      </c>
      <c r="H117" s="5">
        <v>0.25</v>
      </c>
    </row>
    <row r="118" spans="1:8" ht="20.05" customHeight="1" x14ac:dyDescent="0.3">
      <c r="A118" s="19"/>
      <c r="B118" s="5" t="s">
        <v>312</v>
      </c>
      <c r="C118" s="5" t="s">
        <v>19</v>
      </c>
      <c r="D118" s="5" t="s">
        <v>313</v>
      </c>
      <c r="E118" s="7">
        <v>3000</v>
      </c>
      <c r="F118" s="7">
        <v>3000</v>
      </c>
      <c r="G118" s="7" t="s">
        <v>314</v>
      </c>
      <c r="H118" s="5">
        <v>1</v>
      </c>
    </row>
    <row r="119" spans="1:8" ht="20.05" customHeight="1" x14ac:dyDescent="0.3">
      <c r="A119" s="19" t="s">
        <v>315</v>
      </c>
      <c r="B119" s="5" t="s">
        <v>316</v>
      </c>
      <c r="C119" s="5" t="s">
        <v>8</v>
      </c>
      <c r="D119" s="5" t="s">
        <v>193</v>
      </c>
      <c r="E119" s="7">
        <v>60000</v>
      </c>
      <c r="F119" s="7">
        <v>21846.025860999998</v>
      </c>
      <c r="G119" s="7" t="s">
        <v>317</v>
      </c>
      <c r="H119" s="5">
        <v>4.5</v>
      </c>
    </row>
    <row r="120" spans="1:8" ht="20.05" customHeight="1" x14ac:dyDescent="0.3">
      <c r="A120" s="19"/>
      <c r="B120" s="5" t="s">
        <v>318</v>
      </c>
      <c r="C120" s="5" t="s">
        <v>8</v>
      </c>
      <c r="D120" s="5" t="s">
        <v>110</v>
      </c>
      <c r="E120" s="7">
        <v>48000</v>
      </c>
      <c r="F120" s="7">
        <v>2539.9892</v>
      </c>
      <c r="G120" s="7" t="s">
        <v>319</v>
      </c>
      <c r="H120" s="5">
        <v>5</v>
      </c>
    </row>
    <row r="121" spans="1:8" ht="20.05" customHeight="1" x14ac:dyDescent="0.3">
      <c r="A121" s="5" t="s">
        <v>320</v>
      </c>
      <c r="B121" s="5" t="s">
        <v>321</v>
      </c>
      <c r="C121" s="8" t="s">
        <v>80</v>
      </c>
      <c r="D121" s="5" t="s">
        <v>322</v>
      </c>
      <c r="E121" s="8">
        <v>3500</v>
      </c>
      <c r="F121" s="4">
        <v>2350</v>
      </c>
      <c r="G121" s="5" t="s">
        <v>323</v>
      </c>
      <c r="H121" s="5">
        <v>15</v>
      </c>
    </row>
    <row r="122" spans="1:8" ht="20.05" customHeight="1" x14ac:dyDescent="0.3">
      <c r="A122" s="5" t="s">
        <v>320</v>
      </c>
      <c r="B122" s="5" t="s">
        <v>321</v>
      </c>
      <c r="C122" s="8" t="s">
        <v>80</v>
      </c>
      <c r="D122" s="5" t="s">
        <v>322</v>
      </c>
      <c r="E122" s="8">
        <v>5000</v>
      </c>
      <c r="F122" s="4">
        <v>4100</v>
      </c>
      <c r="G122" s="5" t="s">
        <v>323</v>
      </c>
      <c r="H122" s="5">
        <v>15</v>
      </c>
    </row>
    <row r="123" spans="1:8" ht="20.05" customHeight="1" x14ac:dyDescent="0.3">
      <c r="A123" s="5" t="s">
        <v>320</v>
      </c>
      <c r="B123" s="5" t="s">
        <v>324</v>
      </c>
      <c r="C123" s="8" t="s">
        <v>325</v>
      </c>
      <c r="D123" s="5" t="s">
        <v>9</v>
      </c>
      <c r="E123" s="8">
        <v>23900</v>
      </c>
      <c r="F123" s="4">
        <v>7684</v>
      </c>
      <c r="G123" s="5" t="s">
        <v>326</v>
      </c>
      <c r="H123" s="5">
        <v>15</v>
      </c>
    </row>
    <row r="124" spans="1:8" ht="20.05" customHeight="1" x14ac:dyDescent="0.3">
      <c r="A124" s="5" t="s">
        <v>320</v>
      </c>
      <c r="B124" s="5" t="s">
        <v>327</v>
      </c>
      <c r="C124" s="5" t="s">
        <v>80</v>
      </c>
      <c r="D124" s="5" t="s">
        <v>322</v>
      </c>
      <c r="E124" s="8">
        <v>10000</v>
      </c>
      <c r="F124" s="4">
        <v>8997</v>
      </c>
      <c r="G124" s="5" t="s">
        <v>328</v>
      </c>
      <c r="H124" s="5">
        <v>15</v>
      </c>
    </row>
    <row r="125" spans="1:8" ht="20.05" customHeight="1" x14ac:dyDescent="0.3">
      <c r="A125" s="5" t="s">
        <v>320</v>
      </c>
      <c r="B125" s="5" t="s">
        <v>327</v>
      </c>
      <c r="C125" s="5" t="s">
        <v>329</v>
      </c>
      <c r="D125" s="5" t="s">
        <v>330</v>
      </c>
      <c r="E125" s="5">
        <v>15000</v>
      </c>
      <c r="F125" s="4">
        <v>2667.2166999999999</v>
      </c>
      <c r="G125" s="5" t="s">
        <v>331</v>
      </c>
      <c r="H125" s="5">
        <v>3</v>
      </c>
    </row>
    <row r="126" spans="1:8" ht="20.05" customHeight="1" x14ac:dyDescent="0.3">
      <c r="A126" s="5" t="s">
        <v>320</v>
      </c>
      <c r="B126" s="5" t="s">
        <v>327</v>
      </c>
      <c r="C126" s="8" t="s">
        <v>19</v>
      </c>
      <c r="D126" s="5" t="s">
        <v>332</v>
      </c>
      <c r="E126" s="5">
        <v>15000</v>
      </c>
      <c r="F126" s="4">
        <v>14800</v>
      </c>
      <c r="G126" s="5" t="s">
        <v>333</v>
      </c>
      <c r="H126" s="5">
        <v>3</v>
      </c>
    </row>
    <row r="127" spans="1:8" ht="20.05" customHeight="1" x14ac:dyDescent="0.3">
      <c r="A127" s="5" t="s">
        <v>320</v>
      </c>
      <c r="B127" s="5" t="s">
        <v>327</v>
      </c>
      <c r="C127" s="8" t="s">
        <v>13</v>
      </c>
      <c r="D127" s="5" t="s">
        <v>334</v>
      </c>
      <c r="E127" s="5">
        <v>15000</v>
      </c>
      <c r="F127" s="4">
        <v>1500</v>
      </c>
      <c r="G127" s="5" t="s">
        <v>335</v>
      </c>
      <c r="H127" s="5">
        <v>3</v>
      </c>
    </row>
    <row r="128" spans="1:8" ht="20.05" customHeight="1" x14ac:dyDescent="0.3">
      <c r="A128" s="5" t="s">
        <v>320</v>
      </c>
      <c r="B128" s="5" t="s">
        <v>336</v>
      </c>
      <c r="C128" s="8" t="s">
        <v>13</v>
      </c>
      <c r="D128" s="8" t="s">
        <v>259</v>
      </c>
      <c r="E128" s="5">
        <v>25000</v>
      </c>
      <c r="F128" s="4">
        <v>15541.67</v>
      </c>
      <c r="G128" s="8" t="s">
        <v>337</v>
      </c>
      <c r="H128" s="8">
        <v>3</v>
      </c>
    </row>
    <row r="129" spans="1:8" ht="20.05" customHeight="1" x14ac:dyDescent="0.3">
      <c r="A129" s="5" t="s">
        <v>320</v>
      </c>
      <c r="B129" s="5" t="s">
        <v>327</v>
      </c>
      <c r="C129" s="5" t="s">
        <v>19</v>
      </c>
      <c r="D129" s="8" t="s">
        <v>338</v>
      </c>
      <c r="E129" s="5">
        <v>1000</v>
      </c>
      <c r="F129" s="4">
        <v>841.5</v>
      </c>
      <c r="G129" s="8" t="s">
        <v>339</v>
      </c>
      <c r="H129" s="8">
        <v>3</v>
      </c>
    </row>
    <row r="130" spans="1:8" ht="20.05" customHeight="1" x14ac:dyDescent="0.3">
      <c r="A130" s="5" t="s">
        <v>320</v>
      </c>
      <c r="B130" s="5" t="s">
        <v>327</v>
      </c>
      <c r="C130" s="5" t="s">
        <v>19</v>
      </c>
      <c r="D130" s="8" t="s">
        <v>144</v>
      </c>
      <c r="E130" s="5">
        <v>18000</v>
      </c>
      <c r="F130" s="4">
        <v>18000</v>
      </c>
      <c r="G130" s="8" t="s">
        <v>340</v>
      </c>
      <c r="H130" s="8">
        <v>1</v>
      </c>
    </row>
    <row r="131" spans="1:8" ht="20.05" customHeight="1" x14ac:dyDescent="0.3">
      <c r="A131" s="5" t="s">
        <v>320</v>
      </c>
      <c r="B131" s="5" t="s">
        <v>327</v>
      </c>
      <c r="C131" s="5" t="s">
        <v>19</v>
      </c>
      <c r="D131" s="8" t="s">
        <v>341</v>
      </c>
      <c r="E131" s="5">
        <v>48000</v>
      </c>
      <c r="F131" s="4">
        <v>47190</v>
      </c>
      <c r="G131" s="8" t="s">
        <v>342</v>
      </c>
      <c r="H131" s="8">
        <v>3</v>
      </c>
    </row>
    <row r="132" spans="1:8" ht="20.05" customHeight="1" x14ac:dyDescent="0.3">
      <c r="A132" s="5" t="s">
        <v>320</v>
      </c>
      <c r="B132" s="5" t="s">
        <v>327</v>
      </c>
      <c r="C132" s="8" t="s">
        <v>13</v>
      </c>
      <c r="D132" s="5" t="s">
        <v>343</v>
      </c>
      <c r="E132" s="5">
        <v>10000</v>
      </c>
      <c r="F132" s="4">
        <v>7648.7</v>
      </c>
      <c r="G132" s="8" t="s">
        <v>344</v>
      </c>
      <c r="H132" s="8">
        <v>3</v>
      </c>
    </row>
    <row r="133" spans="1:8" ht="20.05" customHeight="1" x14ac:dyDescent="0.3">
      <c r="A133" s="5" t="s">
        <v>320</v>
      </c>
      <c r="B133" s="5" t="s">
        <v>327</v>
      </c>
      <c r="C133" s="8" t="s">
        <v>13</v>
      </c>
      <c r="D133" s="5" t="s">
        <v>345</v>
      </c>
      <c r="E133" s="5">
        <v>6200</v>
      </c>
      <c r="F133" s="4">
        <v>4654.82</v>
      </c>
      <c r="G133" s="8" t="s">
        <v>344</v>
      </c>
      <c r="H133" s="8">
        <v>3</v>
      </c>
    </row>
    <row r="134" spans="1:8" ht="20.05" customHeight="1" x14ac:dyDescent="0.3">
      <c r="A134" s="5" t="s">
        <v>320</v>
      </c>
      <c r="B134" s="5" t="s">
        <v>327</v>
      </c>
      <c r="C134" s="5" t="s">
        <v>19</v>
      </c>
      <c r="D134" s="8" t="s">
        <v>346</v>
      </c>
      <c r="E134" s="5">
        <v>7800</v>
      </c>
      <c r="F134" s="4">
        <v>7800</v>
      </c>
      <c r="G134" s="8" t="s">
        <v>347</v>
      </c>
      <c r="H134" s="8">
        <v>1</v>
      </c>
    </row>
    <row r="135" spans="1:8" ht="20.05" customHeight="1" x14ac:dyDescent="0.3">
      <c r="A135" s="5" t="s">
        <v>320</v>
      </c>
      <c r="B135" s="5" t="s">
        <v>327</v>
      </c>
      <c r="C135" s="5" t="s">
        <v>19</v>
      </c>
      <c r="D135" s="8" t="s">
        <v>348</v>
      </c>
      <c r="E135" s="5">
        <v>4000</v>
      </c>
      <c r="F135" s="4">
        <v>4000</v>
      </c>
      <c r="G135" s="8" t="s">
        <v>349</v>
      </c>
      <c r="H135" s="8">
        <v>1</v>
      </c>
    </row>
    <row r="136" spans="1:8" ht="20.05" customHeight="1" x14ac:dyDescent="0.3">
      <c r="A136" s="5" t="s">
        <v>320</v>
      </c>
      <c r="B136" s="5" t="s">
        <v>327</v>
      </c>
      <c r="C136" s="8" t="s">
        <v>13</v>
      </c>
      <c r="D136" s="8" t="s">
        <v>350</v>
      </c>
      <c r="E136" s="5">
        <v>9500</v>
      </c>
      <c r="F136" s="4">
        <v>8100</v>
      </c>
      <c r="G136" s="8" t="s">
        <v>351</v>
      </c>
      <c r="H136" s="8">
        <v>3</v>
      </c>
    </row>
    <row r="137" spans="1:8" ht="20.05" customHeight="1" x14ac:dyDescent="0.3">
      <c r="A137" s="5" t="s">
        <v>320</v>
      </c>
      <c r="B137" s="5" t="s">
        <v>327</v>
      </c>
      <c r="C137" s="5" t="s">
        <v>19</v>
      </c>
      <c r="D137" s="8" t="s">
        <v>352</v>
      </c>
      <c r="E137" s="5">
        <v>9000</v>
      </c>
      <c r="F137" s="4">
        <v>9000</v>
      </c>
      <c r="G137" s="8" t="s">
        <v>353</v>
      </c>
      <c r="H137" s="8">
        <v>0.5</v>
      </c>
    </row>
    <row r="138" spans="1:8" ht="20.05" customHeight="1" x14ac:dyDescent="0.3">
      <c r="A138" s="5" t="s">
        <v>320</v>
      </c>
      <c r="B138" s="5" t="s">
        <v>327</v>
      </c>
      <c r="C138" s="5" t="s">
        <v>19</v>
      </c>
      <c r="D138" s="8" t="s">
        <v>354</v>
      </c>
      <c r="E138" s="5">
        <v>12500</v>
      </c>
      <c r="F138" s="4">
        <v>12500</v>
      </c>
      <c r="G138" s="8" t="s">
        <v>355</v>
      </c>
      <c r="H138" s="8">
        <v>1</v>
      </c>
    </row>
    <row r="139" spans="1:8" ht="20.05" customHeight="1" x14ac:dyDescent="0.3">
      <c r="A139" s="5" t="s">
        <v>356</v>
      </c>
      <c r="B139" s="5" t="s">
        <v>327</v>
      </c>
      <c r="C139" s="5" t="s">
        <v>19</v>
      </c>
      <c r="D139" s="5" t="s">
        <v>357</v>
      </c>
      <c r="E139" s="5">
        <v>930</v>
      </c>
      <c r="F139" s="4">
        <v>930</v>
      </c>
      <c r="G139" s="8" t="s">
        <v>358</v>
      </c>
      <c r="H139" s="8">
        <v>1</v>
      </c>
    </row>
    <row r="140" spans="1:8" ht="20.05" customHeight="1" x14ac:dyDescent="0.3">
      <c r="A140" s="5" t="s">
        <v>356</v>
      </c>
      <c r="B140" s="5" t="s">
        <v>327</v>
      </c>
      <c r="C140" s="5" t="s">
        <v>19</v>
      </c>
      <c r="D140" s="5" t="s">
        <v>359</v>
      </c>
      <c r="E140" s="5">
        <v>1000</v>
      </c>
      <c r="F140" s="4">
        <v>960</v>
      </c>
      <c r="G140" s="5" t="s">
        <v>333</v>
      </c>
      <c r="H140" s="5">
        <v>3</v>
      </c>
    </row>
    <row r="141" spans="1:8" ht="20.05" customHeight="1" x14ac:dyDescent="0.3">
      <c r="A141" s="5" t="s">
        <v>356</v>
      </c>
      <c r="B141" s="5" t="s">
        <v>327</v>
      </c>
      <c r="C141" s="5" t="s">
        <v>19</v>
      </c>
      <c r="D141" s="8" t="s">
        <v>338</v>
      </c>
      <c r="E141" s="5">
        <v>1000</v>
      </c>
      <c r="F141" s="4">
        <v>841.5</v>
      </c>
      <c r="G141" s="8" t="s">
        <v>339</v>
      </c>
      <c r="H141" s="8">
        <v>3</v>
      </c>
    </row>
    <row r="142" spans="1:8" ht="20.05" customHeight="1" x14ac:dyDescent="0.3">
      <c r="A142" s="5" t="s">
        <v>356</v>
      </c>
      <c r="B142" s="5" t="s">
        <v>327</v>
      </c>
      <c r="C142" s="5" t="s">
        <v>19</v>
      </c>
      <c r="D142" s="8" t="s">
        <v>360</v>
      </c>
      <c r="E142" s="5">
        <v>5000</v>
      </c>
      <c r="F142" s="4">
        <v>0</v>
      </c>
      <c r="G142" s="8" t="s">
        <v>361</v>
      </c>
      <c r="H142" s="8">
        <v>1</v>
      </c>
    </row>
    <row r="143" spans="1:8" ht="20.05" customHeight="1" x14ac:dyDescent="0.3">
      <c r="A143" s="5" t="s">
        <v>356</v>
      </c>
      <c r="B143" s="5" t="s">
        <v>327</v>
      </c>
      <c r="C143" s="5" t="s">
        <v>19</v>
      </c>
      <c r="D143" s="8" t="s">
        <v>9</v>
      </c>
      <c r="E143" s="5">
        <v>800</v>
      </c>
      <c r="F143" s="4">
        <v>800</v>
      </c>
      <c r="G143" s="8" t="s">
        <v>362</v>
      </c>
      <c r="H143" s="8">
        <v>1</v>
      </c>
    </row>
    <row r="144" spans="1:8" ht="20.05" customHeight="1" x14ac:dyDescent="0.3">
      <c r="A144" s="5" t="s">
        <v>356</v>
      </c>
      <c r="B144" s="5" t="s">
        <v>327</v>
      </c>
      <c r="C144" s="5" t="s">
        <v>19</v>
      </c>
      <c r="D144" s="8" t="s">
        <v>363</v>
      </c>
      <c r="E144" s="5">
        <v>1000</v>
      </c>
      <c r="F144" s="4">
        <v>1000</v>
      </c>
      <c r="G144" s="8" t="s">
        <v>364</v>
      </c>
      <c r="H144" s="8">
        <v>1</v>
      </c>
    </row>
    <row r="145" spans="1:8" ht="20.05" customHeight="1" x14ac:dyDescent="0.3">
      <c r="A145" s="5" t="s">
        <v>356</v>
      </c>
      <c r="B145" s="5" t="s">
        <v>327</v>
      </c>
      <c r="C145" s="5" t="s">
        <v>19</v>
      </c>
      <c r="D145" s="8" t="s">
        <v>360</v>
      </c>
      <c r="E145" s="5">
        <v>5000</v>
      </c>
      <c r="F145" s="4">
        <v>5000</v>
      </c>
      <c r="G145" s="8" t="s">
        <v>365</v>
      </c>
      <c r="H145" s="8">
        <v>0.5</v>
      </c>
    </row>
    <row r="146" spans="1:8" s="2" customFormat="1" ht="20.05" customHeight="1" x14ac:dyDescent="0.3">
      <c r="A146" s="5" t="s">
        <v>366</v>
      </c>
      <c r="B146" s="5" t="s">
        <v>327</v>
      </c>
      <c r="C146" s="5" t="s">
        <v>19</v>
      </c>
      <c r="D146" s="5" t="s">
        <v>357</v>
      </c>
      <c r="E146" s="5">
        <v>850</v>
      </c>
      <c r="F146" s="4">
        <v>0</v>
      </c>
      <c r="G146" s="8" t="s">
        <v>358</v>
      </c>
      <c r="H146" s="8">
        <v>1</v>
      </c>
    </row>
    <row r="147" spans="1:8" ht="20.05" customHeight="1" x14ac:dyDescent="0.3">
      <c r="A147" s="5" t="s">
        <v>367</v>
      </c>
      <c r="B147" s="5" t="s">
        <v>327</v>
      </c>
      <c r="C147" s="5" t="s">
        <v>19</v>
      </c>
      <c r="D147" s="5" t="s">
        <v>357</v>
      </c>
      <c r="E147" s="5">
        <v>930</v>
      </c>
      <c r="F147" s="4">
        <v>930</v>
      </c>
      <c r="G147" s="8" t="s">
        <v>358</v>
      </c>
      <c r="H147" s="8">
        <v>1</v>
      </c>
    </row>
    <row r="148" spans="1:8" ht="20.05" customHeight="1" x14ac:dyDescent="0.3">
      <c r="A148" s="5" t="s">
        <v>367</v>
      </c>
      <c r="B148" s="8" t="s">
        <v>327</v>
      </c>
      <c r="C148" s="5" t="s">
        <v>19</v>
      </c>
      <c r="D148" s="5" t="s">
        <v>359</v>
      </c>
      <c r="E148" s="5">
        <v>1000</v>
      </c>
      <c r="F148" s="4">
        <v>960</v>
      </c>
      <c r="G148" s="5" t="s">
        <v>333</v>
      </c>
      <c r="H148" s="5">
        <v>3</v>
      </c>
    </row>
    <row r="149" spans="1:8" ht="20.05" customHeight="1" x14ac:dyDescent="0.3">
      <c r="A149" s="5" t="s">
        <v>367</v>
      </c>
      <c r="B149" s="8" t="s">
        <v>327</v>
      </c>
      <c r="C149" s="5" t="s">
        <v>19</v>
      </c>
      <c r="D149" s="5" t="s">
        <v>368</v>
      </c>
      <c r="E149" s="5">
        <v>1000</v>
      </c>
      <c r="F149" s="4">
        <v>841.5</v>
      </c>
      <c r="G149" s="5" t="s">
        <v>339</v>
      </c>
      <c r="H149" s="5">
        <v>3</v>
      </c>
    </row>
    <row r="150" spans="1:8" s="2" customFormat="1" ht="20.05" customHeight="1" x14ac:dyDescent="0.3">
      <c r="A150" s="5" t="s">
        <v>367</v>
      </c>
      <c r="B150" s="8" t="s">
        <v>327</v>
      </c>
      <c r="C150" s="5" t="s">
        <v>19</v>
      </c>
      <c r="D150" s="5" t="s">
        <v>9</v>
      </c>
      <c r="E150" s="5">
        <v>950</v>
      </c>
      <c r="F150" s="4">
        <v>0</v>
      </c>
      <c r="G150" s="5" t="s">
        <v>369</v>
      </c>
      <c r="H150" s="5">
        <v>1</v>
      </c>
    </row>
    <row r="151" spans="1:8" ht="20.05" customHeight="1" x14ac:dyDescent="0.3">
      <c r="A151" s="5" t="s">
        <v>367</v>
      </c>
      <c r="B151" s="8" t="s">
        <v>327</v>
      </c>
      <c r="C151" s="5" t="s">
        <v>19</v>
      </c>
      <c r="D151" s="5" t="s">
        <v>36</v>
      </c>
      <c r="E151" s="5">
        <v>5000</v>
      </c>
      <c r="F151" s="4">
        <v>0</v>
      </c>
      <c r="G151" s="5" t="s">
        <v>370</v>
      </c>
      <c r="H151" s="5">
        <v>0.5</v>
      </c>
    </row>
    <row r="152" spans="1:8" ht="20.05" customHeight="1" x14ac:dyDescent="0.3">
      <c r="A152" s="5" t="s">
        <v>367</v>
      </c>
      <c r="B152" s="8" t="s">
        <v>327</v>
      </c>
      <c r="C152" s="5" t="s">
        <v>19</v>
      </c>
      <c r="D152" s="5" t="s">
        <v>85</v>
      </c>
      <c r="E152" s="5">
        <v>1000</v>
      </c>
      <c r="F152" s="4">
        <v>1000</v>
      </c>
      <c r="G152" s="8" t="s">
        <v>364</v>
      </c>
      <c r="H152" s="5">
        <v>1</v>
      </c>
    </row>
    <row r="153" spans="1:8" ht="20.05" customHeight="1" x14ac:dyDescent="0.3">
      <c r="A153" s="5" t="s">
        <v>371</v>
      </c>
      <c r="B153" s="5" t="s">
        <v>327</v>
      </c>
      <c r="C153" s="5" t="s">
        <v>19</v>
      </c>
      <c r="D153" s="5" t="s">
        <v>357</v>
      </c>
      <c r="E153" s="5">
        <v>930</v>
      </c>
      <c r="F153" s="4">
        <v>930</v>
      </c>
      <c r="G153" s="8" t="s">
        <v>358</v>
      </c>
      <c r="H153" s="8">
        <v>1</v>
      </c>
    </row>
    <row r="154" spans="1:8" ht="20.05" customHeight="1" x14ac:dyDescent="0.3">
      <c r="A154" s="5" t="s">
        <v>371</v>
      </c>
      <c r="B154" s="5" t="s">
        <v>327</v>
      </c>
      <c r="C154" s="5" t="s">
        <v>19</v>
      </c>
      <c r="D154" s="8" t="s">
        <v>36</v>
      </c>
      <c r="E154" s="5">
        <v>1000</v>
      </c>
      <c r="F154" s="4">
        <v>0</v>
      </c>
      <c r="G154" s="8" t="s">
        <v>370</v>
      </c>
      <c r="H154" s="8">
        <v>0.5</v>
      </c>
    </row>
    <row r="155" spans="1:8" ht="20.05" customHeight="1" x14ac:dyDescent="0.3">
      <c r="A155" s="5" t="s">
        <v>371</v>
      </c>
      <c r="B155" s="5" t="s">
        <v>327</v>
      </c>
      <c r="C155" s="5" t="s">
        <v>19</v>
      </c>
      <c r="D155" s="5" t="s">
        <v>69</v>
      </c>
      <c r="E155" s="5">
        <v>1000</v>
      </c>
      <c r="F155" s="4">
        <v>1000</v>
      </c>
      <c r="G155" s="8" t="s">
        <v>372</v>
      </c>
      <c r="H155" s="8">
        <v>1</v>
      </c>
    </row>
    <row r="156" spans="1:8" ht="20.05" customHeight="1" x14ac:dyDescent="0.3">
      <c r="A156" s="5" t="s">
        <v>371</v>
      </c>
      <c r="B156" s="5" t="s">
        <v>327</v>
      </c>
      <c r="C156" s="5" t="s">
        <v>19</v>
      </c>
      <c r="D156" s="5" t="s">
        <v>363</v>
      </c>
      <c r="E156" s="5">
        <v>1000</v>
      </c>
      <c r="F156" s="4">
        <v>1000</v>
      </c>
      <c r="G156" s="8" t="s">
        <v>340</v>
      </c>
      <c r="H156" s="8">
        <v>1</v>
      </c>
    </row>
    <row r="157" spans="1:8" ht="20.05" customHeight="1" x14ac:dyDescent="0.3">
      <c r="A157" s="5" t="s">
        <v>371</v>
      </c>
      <c r="B157" s="5" t="s">
        <v>327</v>
      </c>
      <c r="C157" s="5" t="s">
        <v>13</v>
      </c>
      <c r="D157" s="5" t="s">
        <v>112</v>
      </c>
      <c r="E157" s="5">
        <v>10000</v>
      </c>
      <c r="F157" s="4">
        <v>10000</v>
      </c>
      <c r="G157" s="8" t="s">
        <v>373</v>
      </c>
      <c r="H157" s="8">
        <v>5</v>
      </c>
    </row>
    <row r="158" spans="1:8" s="2" customFormat="1" ht="20.05" customHeight="1" x14ac:dyDescent="0.3">
      <c r="A158" s="5" t="s">
        <v>374</v>
      </c>
      <c r="B158" s="8" t="s">
        <v>327</v>
      </c>
      <c r="C158" s="8" t="s">
        <v>19</v>
      </c>
      <c r="D158" s="8" t="s">
        <v>375</v>
      </c>
      <c r="E158" s="4">
        <v>5000</v>
      </c>
      <c r="F158" s="4">
        <v>0</v>
      </c>
      <c r="G158" s="8" t="s">
        <v>376</v>
      </c>
      <c r="H158" s="8">
        <v>2</v>
      </c>
    </row>
    <row r="159" spans="1:8" ht="20.05" customHeight="1" x14ac:dyDescent="0.3">
      <c r="A159" s="5" t="s">
        <v>374</v>
      </c>
      <c r="B159" s="8" t="s">
        <v>327</v>
      </c>
      <c r="C159" s="8" t="s">
        <v>13</v>
      </c>
      <c r="D159" s="8" t="s">
        <v>112</v>
      </c>
      <c r="E159" s="4">
        <v>30000</v>
      </c>
      <c r="F159" s="4">
        <v>29200</v>
      </c>
      <c r="G159" s="8" t="s">
        <v>377</v>
      </c>
      <c r="H159" s="8">
        <v>3</v>
      </c>
    </row>
    <row r="160" spans="1:8" ht="20.05" customHeight="1" x14ac:dyDescent="0.3">
      <c r="A160" s="5" t="s">
        <v>374</v>
      </c>
      <c r="B160" s="5" t="s">
        <v>327</v>
      </c>
      <c r="C160" s="8" t="s">
        <v>238</v>
      </c>
      <c r="D160" s="8" t="s">
        <v>378</v>
      </c>
      <c r="E160" s="4">
        <v>20000</v>
      </c>
      <c r="F160" s="4">
        <v>0</v>
      </c>
      <c r="G160" s="8" t="s">
        <v>379</v>
      </c>
      <c r="H160" s="8">
        <v>1</v>
      </c>
    </row>
    <row r="161" spans="1:8" ht="20.05" customHeight="1" x14ac:dyDescent="0.3">
      <c r="A161" s="5" t="s">
        <v>374</v>
      </c>
      <c r="B161" s="8" t="s">
        <v>327</v>
      </c>
      <c r="C161" s="8" t="s">
        <v>19</v>
      </c>
      <c r="D161" s="8" t="s">
        <v>380</v>
      </c>
      <c r="E161" s="4">
        <v>4950</v>
      </c>
      <c r="F161" s="4">
        <v>4700</v>
      </c>
      <c r="G161" s="8" t="s">
        <v>381</v>
      </c>
      <c r="H161" s="8">
        <v>3</v>
      </c>
    </row>
    <row r="162" spans="1:8" ht="20.05" customHeight="1" x14ac:dyDescent="0.3">
      <c r="A162" s="5" t="s">
        <v>374</v>
      </c>
      <c r="B162" s="8" t="s">
        <v>327</v>
      </c>
      <c r="C162" s="8" t="s">
        <v>19</v>
      </c>
      <c r="D162" s="8" t="s">
        <v>380</v>
      </c>
      <c r="E162" s="4">
        <v>5050</v>
      </c>
      <c r="F162" s="4">
        <v>4780</v>
      </c>
      <c r="G162" s="8" t="s">
        <v>382</v>
      </c>
      <c r="H162" s="8">
        <v>3</v>
      </c>
    </row>
    <row r="163" spans="1:8" ht="20.05" customHeight="1" x14ac:dyDescent="0.3">
      <c r="A163" s="5" t="s">
        <v>374</v>
      </c>
      <c r="B163" s="8" t="s">
        <v>327</v>
      </c>
      <c r="C163" s="8" t="s">
        <v>19</v>
      </c>
      <c r="D163" s="8" t="s">
        <v>383</v>
      </c>
      <c r="E163" s="4">
        <v>8000</v>
      </c>
      <c r="F163" s="4">
        <v>8000</v>
      </c>
      <c r="G163" s="8" t="s">
        <v>384</v>
      </c>
      <c r="H163" s="8">
        <v>1</v>
      </c>
    </row>
    <row r="164" spans="1:8" ht="20.05" customHeight="1" x14ac:dyDescent="0.3">
      <c r="A164" s="5" t="s">
        <v>374</v>
      </c>
      <c r="B164" s="8" t="s">
        <v>327</v>
      </c>
      <c r="C164" s="8" t="s">
        <v>385</v>
      </c>
      <c r="D164" s="8" t="s">
        <v>383</v>
      </c>
      <c r="E164" s="4">
        <v>2000</v>
      </c>
      <c r="F164" s="4">
        <v>2000</v>
      </c>
      <c r="G164" s="8" t="s">
        <v>386</v>
      </c>
      <c r="H164" s="8">
        <v>0.5</v>
      </c>
    </row>
    <row r="165" spans="1:8" ht="20.05" customHeight="1" x14ac:dyDescent="0.3">
      <c r="A165" s="5" t="s">
        <v>374</v>
      </c>
      <c r="B165" s="8" t="s">
        <v>327</v>
      </c>
      <c r="C165" s="8" t="s">
        <v>13</v>
      </c>
      <c r="D165" s="8" t="s">
        <v>387</v>
      </c>
      <c r="E165" s="4">
        <v>20000</v>
      </c>
      <c r="F165" s="4">
        <v>19060.419999999998</v>
      </c>
      <c r="G165" s="8" t="s">
        <v>388</v>
      </c>
      <c r="H165" s="8">
        <v>5</v>
      </c>
    </row>
    <row r="166" spans="1:8" ht="20.05" customHeight="1" x14ac:dyDescent="0.3">
      <c r="A166" s="5" t="s">
        <v>374</v>
      </c>
      <c r="B166" s="8" t="s">
        <v>327</v>
      </c>
      <c r="C166" s="8" t="s">
        <v>13</v>
      </c>
      <c r="D166" s="8" t="s">
        <v>389</v>
      </c>
      <c r="E166" s="4">
        <v>30000</v>
      </c>
      <c r="F166" s="4">
        <v>23400</v>
      </c>
      <c r="G166" s="8" t="s">
        <v>382</v>
      </c>
      <c r="H166" s="8">
        <v>3</v>
      </c>
    </row>
    <row r="167" spans="1:8" ht="20.05" customHeight="1" x14ac:dyDescent="0.3">
      <c r="A167" s="5" t="s">
        <v>374</v>
      </c>
      <c r="B167" s="8" t="s">
        <v>327</v>
      </c>
      <c r="C167" s="8" t="s">
        <v>13</v>
      </c>
      <c r="D167" s="8" t="s">
        <v>390</v>
      </c>
      <c r="E167" s="4">
        <v>10000</v>
      </c>
      <c r="F167" s="4">
        <v>8455.1</v>
      </c>
      <c r="G167" s="8" t="s">
        <v>382</v>
      </c>
      <c r="H167" s="8">
        <v>3</v>
      </c>
    </row>
    <row r="168" spans="1:8" ht="20.05" customHeight="1" x14ac:dyDescent="0.3">
      <c r="A168" s="5" t="s">
        <v>374</v>
      </c>
      <c r="B168" s="8" t="s">
        <v>327</v>
      </c>
      <c r="C168" s="8" t="s">
        <v>238</v>
      </c>
      <c r="D168" s="8" t="s">
        <v>391</v>
      </c>
      <c r="E168" s="4">
        <v>10000</v>
      </c>
      <c r="F168" s="4">
        <v>10000</v>
      </c>
      <c r="G168" s="8" t="s">
        <v>392</v>
      </c>
      <c r="H168" s="8">
        <v>1</v>
      </c>
    </row>
    <row r="169" spans="1:8" ht="20.05" customHeight="1" x14ac:dyDescent="0.3">
      <c r="A169" s="5" t="s">
        <v>374</v>
      </c>
      <c r="B169" s="8" t="s">
        <v>327</v>
      </c>
      <c r="C169" s="8" t="s">
        <v>238</v>
      </c>
      <c r="D169" s="8" t="s">
        <v>391</v>
      </c>
      <c r="E169" s="4">
        <v>10000</v>
      </c>
      <c r="F169" s="4">
        <v>9913.5</v>
      </c>
      <c r="G169" s="8" t="s">
        <v>349</v>
      </c>
      <c r="H169" s="8">
        <v>1</v>
      </c>
    </row>
    <row r="170" spans="1:8" ht="20.05" customHeight="1" x14ac:dyDescent="0.3">
      <c r="A170" s="5" t="s">
        <v>374</v>
      </c>
      <c r="B170" s="8" t="s">
        <v>327</v>
      </c>
      <c r="C170" s="8" t="s">
        <v>238</v>
      </c>
      <c r="D170" s="8" t="s">
        <v>393</v>
      </c>
      <c r="E170" s="4">
        <v>10000</v>
      </c>
      <c r="F170" s="4">
        <v>10000</v>
      </c>
      <c r="G170" s="8" t="s">
        <v>349</v>
      </c>
      <c r="H170" s="8">
        <v>1</v>
      </c>
    </row>
    <row r="171" spans="1:8" ht="20.05" customHeight="1" x14ac:dyDescent="0.3">
      <c r="A171" s="5" t="s">
        <v>374</v>
      </c>
      <c r="B171" s="8" t="s">
        <v>327</v>
      </c>
      <c r="C171" s="8" t="s">
        <v>238</v>
      </c>
      <c r="D171" s="8" t="s">
        <v>394</v>
      </c>
      <c r="E171" s="4">
        <v>10170</v>
      </c>
      <c r="F171" s="4">
        <v>10170</v>
      </c>
      <c r="G171" s="8" t="s">
        <v>395</v>
      </c>
      <c r="H171" s="8">
        <v>1.5</v>
      </c>
    </row>
    <row r="172" spans="1:8" ht="20.05" customHeight="1" x14ac:dyDescent="0.3">
      <c r="A172" s="5" t="s">
        <v>374</v>
      </c>
      <c r="B172" s="8" t="s">
        <v>327</v>
      </c>
      <c r="C172" s="8" t="s">
        <v>238</v>
      </c>
      <c r="D172" s="8" t="s">
        <v>394</v>
      </c>
      <c r="E172" s="4">
        <v>9830</v>
      </c>
      <c r="F172" s="4">
        <v>2220</v>
      </c>
      <c r="G172" s="8" t="s">
        <v>396</v>
      </c>
      <c r="H172" s="8">
        <v>1</v>
      </c>
    </row>
    <row r="173" spans="1:8" ht="20.05" customHeight="1" x14ac:dyDescent="0.3">
      <c r="A173" s="5" t="s">
        <v>374</v>
      </c>
      <c r="B173" s="8" t="s">
        <v>327</v>
      </c>
      <c r="C173" s="8" t="s">
        <v>19</v>
      </c>
      <c r="D173" s="8" t="s">
        <v>397</v>
      </c>
      <c r="E173" s="4">
        <v>10000</v>
      </c>
      <c r="F173" s="4">
        <v>10000</v>
      </c>
      <c r="G173" s="8" t="s">
        <v>340</v>
      </c>
      <c r="H173" s="8">
        <v>1</v>
      </c>
    </row>
    <row r="174" spans="1:8" ht="20.05" customHeight="1" x14ac:dyDescent="0.3">
      <c r="A174" s="5" t="s">
        <v>374</v>
      </c>
      <c r="B174" s="8" t="s">
        <v>327</v>
      </c>
      <c r="C174" s="8" t="s">
        <v>238</v>
      </c>
      <c r="D174" s="8" t="s">
        <v>398</v>
      </c>
      <c r="E174" s="4">
        <v>20000</v>
      </c>
      <c r="F174" s="4">
        <v>20000</v>
      </c>
      <c r="G174" s="8" t="s">
        <v>362</v>
      </c>
      <c r="H174" s="8">
        <v>1</v>
      </c>
    </row>
    <row r="175" spans="1:8" ht="20.05" customHeight="1" x14ac:dyDescent="0.3">
      <c r="A175" s="5" t="s">
        <v>374</v>
      </c>
      <c r="B175" s="8" t="s">
        <v>327</v>
      </c>
      <c r="C175" s="8" t="s">
        <v>238</v>
      </c>
      <c r="D175" s="8" t="s">
        <v>398</v>
      </c>
      <c r="E175" s="4">
        <v>10000</v>
      </c>
      <c r="F175" s="4">
        <v>10000</v>
      </c>
      <c r="G175" s="8" t="s">
        <v>362</v>
      </c>
      <c r="H175" s="8">
        <v>1</v>
      </c>
    </row>
    <row r="176" spans="1:8" ht="20.05" customHeight="1" x14ac:dyDescent="0.3">
      <c r="A176" s="5" t="s">
        <v>374</v>
      </c>
      <c r="B176" s="8" t="s">
        <v>327</v>
      </c>
      <c r="C176" s="8" t="s">
        <v>13</v>
      </c>
      <c r="D176" s="8" t="s">
        <v>399</v>
      </c>
      <c r="E176" s="4">
        <v>18000</v>
      </c>
      <c r="F176" s="4">
        <v>15000</v>
      </c>
      <c r="G176" s="8" t="s">
        <v>400</v>
      </c>
      <c r="H176" s="8">
        <v>3</v>
      </c>
    </row>
    <row r="177" spans="1:8" s="2" customFormat="1" ht="20.05" customHeight="1" x14ac:dyDescent="0.3">
      <c r="A177" s="5" t="s">
        <v>374</v>
      </c>
      <c r="B177" s="8" t="s">
        <v>327</v>
      </c>
      <c r="C177" s="8" t="s">
        <v>385</v>
      </c>
      <c r="D177" s="8" t="s">
        <v>51</v>
      </c>
      <c r="E177" s="4">
        <v>20000</v>
      </c>
      <c r="F177" s="4">
        <v>0</v>
      </c>
      <c r="G177" s="8" t="s">
        <v>401</v>
      </c>
      <c r="H177" s="8">
        <v>0.5</v>
      </c>
    </row>
    <row r="178" spans="1:8" s="2" customFormat="1" ht="20.05" customHeight="1" x14ac:dyDescent="0.3">
      <c r="A178" s="5" t="s">
        <v>374</v>
      </c>
      <c r="B178" s="5" t="s">
        <v>327</v>
      </c>
      <c r="C178" s="5" t="s">
        <v>385</v>
      </c>
      <c r="D178" s="8" t="s">
        <v>51</v>
      </c>
      <c r="E178" s="5">
        <v>20000</v>
      </c>
      <c r="F178" s="4">
        <v>20000</v>
      </c>
      <c r="G178" s="8" t="s">
        <v>402</v>
      </c>
      <c r="H178" s="8">
        <v>0.5</v>
      </c>
    </row>
    <row r="179" spans="1:8" ht="20.05" customHeight="1" x14ac:dyDescent="0.3">
      <c r="A179" s="8" t="s">
        <v>374</v>
      </c>
      <c r="B179" s="8" t="s">
        <v>327</v>
      </c>
      <c r="C179" s="8" t="s">
        <v>13</v>
      </c>
      <c r="D179" s="8" t="s">
        <v>403</v>
      </c>
      <c r="E179" s="4">
        <v>10000</v>
      </c>
      <c r="F179" s="4">
        <v>9754.7800000000007</v>
      </c>
      <c r="G179" s="8" t="s">
        <v>362</v>
      </c>
      <c r="H179" s="8">
        <v>1</v>
      </c>
    </row>
    <row r="180" spans="1:8" ht="20.05" customHeight="1" x14ac:dyDescent="0.3">
      <c r="A180" s="8" t="s">
        <v>374</v>
      </c>
      <c r="B180" s="8" t="s">
        <v>327</v>
      </c>
      <c r="C180" s="8" t="s">
        <v>238</v>
      </c>
      <c r="D180" s="8" t="s">
        <v>398</v>
      </c>
      <c r="E180" s="4">
        <v>20000</v>
      </c>
      <c r="F180" s="4">
        <v>20000</v>
      </c>
      <c r="G180" s="8" t="s">
        <v>404</v>
      </c>
      <c r="H180" s="8">
        <v>1</v>
      </c>
    </row>
    <row r="181" spans="1:8" ht="20.05" customHeight="1" x14ac:dyDescent="0.3">
      <c r="A181" s="8" t="s">
        <v>374</v>
      </c>
      <c r="B181" s="8" t="s">
        <v>327</v>
      </c>
      <c r="C181" s="8" t="s">
        <v>238</v>
      </c>
      <c r="D181" s="8" t="s">
        <v>391</v>
      </c>
      <c r="E181" s="4">
        <v>10000</v>
      </c>
      <c r="F181" s="4">
        <v>7775</v>
      </c>
      <c r="G181" s="8" t="s">
        <v>404</v>
      </c>
      <c r="H181" s="8">
        <v>1</v>
      </c>
    </row>
    <row r="182" spans="1:8" ht="20.05" customHeight="1" x14ac:dyDescent="0.3">
      <c r="A182" s="8" t="s">
        <v>374</v>
      </c>
      <c r="B182" s="8" t="s">
        <v>327</v>
      </c>
      <c r="C182" s="8" t="s">
        <v>238</v>
      </c>
      <c r="D182" s="8" t="s">
        <v>405</v>
      </c>
      <c r="E182" s="4">
        <v>8000</v>
      </c>
      <c r="F182" s="4">
        <v>7940</v>
      </c>
      <c r="G182" s="8" t="s">
        <v>406</v>
      </c>
      <c r="H182" s="8">
        <v>1.25</v>
      </c>
    </row>
    <row r="183" spans="1:8" ht="20.05" customHeight="1" x14ac:dyDescent="0.3">
      <c r="A183" s="8" t="s">
        <v>374</v>
      </c>
      <c r="B183" s="8" t="s">
        <v>327</v>
      </c>
      <c r="C183" s="8" t="s">
        <v>19</v>
      </c>
      <c r="D183" s="8" t="s">
        <v>383</v>
      </c>
      <c r="E183" s="4">
        <v>10000</v>
      </c>
      <c r="F183" s="4">
        <v>10000</v>
      </c>
      <c r="G183" s="8" t="s">
        <v>407</v>
      </c>
      <c r="H183" s="8">
        <v>1</v>
      </c>
    </row>
    <row r="184" spans="1:8" ht="20.05" customHeight="1" x14ac:dyDescent="0.3">
      <c r="A184" s="8" t="s">
        <v>374</v>
      </c>
      <c r="B184" s="8" t="s">
        <v>327</v>
      </c>
      <c r="C184" s="8" t="s">
        <v>19</v>
      </c>
      <c r="D184" s="8" t="s">
        <v>352</v>
      </c>
      <c r="E184" s="4">
        <v>5000</v>
      </c>
      <c r="F184" s="4">
        <v>4980</v>
      </c>
      <c r="G184" s="8" t="s">
        <v>396</v>
      </c>
      <c r="H184" s="8">
        <v>1</v>
      </c>
    </row>
    <row r="185" spans="1:8" ht="20.05" customHeight="1" x14ac:dyDescent="0.3">
      <c r="A185" s="5" t="s">
        <v>408</v>
      </c>
      <c r="B185" s="8" t="s">
        <v>327</v>
      </c>
      <c r="C185" s="8" t="s">
        <v>19</v>
      </c>
      <c r="D185" s="8" t="s">
        <v>409</v>
      </c>
      <c r="E185" s="4">
        <v>1000</v>
      </c>
      <c r="F185" s="4">
        <v>1000</v>
      </c>
      <c r="G185" s="8" t="s">
        <v>384</v>
      </c>
      <c r="H185" s="8">
        <v>1</v>
      </c>
    </row>
    <row r="186" spans="1:8" ht="20.05" customHeight="1" x14ac:dyDescent="0.3">
      <c r="A186" s="5" t="s">
        <v>408</v>
      </c>
      <c r="B186" s="8" t="s">
        <v>327</v>
      </c>
      <c r="C186" s="8" t="s">
        <v>19</v>
      </c>
      <c r="D186" s="5" t="s">
        <v>85</v>
      </c>
      <c r="E186" s="5">
        <v>1000</v>
      </c>
      <c r="F186" s="4">
        <v>1000</v>
      </c>
      <c r="G186" s="8" t="s">
        <v>364</v>
      </c>
      <c r="H186" s="5">
        <v>1</v>
      </c>
    </row>
    <row r="187" spans="1:8" ht="20.05" customHeight="1" x14ac:dyDescent="0.3">
      <c r="A187" s="4" t="s">
        <v>410</v>
      </c>
      <c r="B187" s="4" t="s">
        <v>411</v>
      </c>
      <c r="C187" s="4" t="s">
        <v>412</v>
      </c>
      <c r="D187" s="4" t="s">
        <v>413</v>
      </c>
      <c r="E187" s="4">
        <v>53000</v>
      </c>
      <c r="F187" s="4">
        <v>23595</v>
      </c>
      <c r="G187" s="4" t="s">
        <v>722</v>
      </c>
      <c r="H187" s="4">
        <v>5</v>
      </c>
    </row>
    <row r="188" spans="1:8" ht="20.05" customHeight="1" x14ac:dyDescent="0.3">
      <c r="A188" s="4" t="s">
        <v>410</v>
      </c>
      <c r="B188" s="4" t="s">
        <v>414</v>
      </c>
      <c r="C188" s="4" t="s">
        <v>412</v>
      </c>
      <c r="D188" s="4" t="s">
        <v>415</v>
      </c>
      <c r="E188" s="4">
        <v>70000</v>
      </c>
      <c r="F188" s="4">
        <v>27145</v>
      </c>
      <c r="G188" s="4" t="s">
        <v>416</v>
      </c>
      <c r="H188" s="4">
        <v>8</v>
      </c>
    </row>
    <row r="189" spans="1:8" ht="20.05" customHeight="1" x14ac:dyDescent="0.3">
      <c r="A189" s="4" t="s">
        <v>410</v>
      </c>
      <c r="B189" s="4" t="s">
        <v>417</v>
      </c>
      <c r="C189" s="4" t="s">
        <v>8</v>
      </c>
      <c r="D189" s="4" t="s">
        <v>415</v>
      </c>
      <c r="E189" s="4">
        <v>100000</v>
      </c>
      <c r="F189" s="4">
        <v>26393</v>
      </c>
      <c r="G189" s="4" t="s">
        <v>418</v>
      </c>
      <c r="H189" s="4">
        <v>7</v>
      </c>
    </row>
    <row r="190" spans="1:8" ht="20.05" customHeight="1" x14ac:dyDescent="0.3">
      <c r="A190" s="4" t="s">
        <v>410</v>
      </c>
      <c r="B190" s="4" t="s">
        <v>419</v>
      </c>
      <c r="C190" s="4" t="s">
        <v>8</v>
      </c>
      <c r="D190" s="4" t="s">
        <v>420</v>
      </c>
      <c r="E190" s="4">
        <v>28000</v>
      </c>
      <c r="F190" s="4">
        <v>15941.152622</v>
      </c>
      <c r="G190" s="4" t="s">
        <v>421</v>
      </c>
      <c r="H190" s="4">
        <v>6</v>
      </c>
    </row>
    <row r="191" spans="1:8" ht="20.05" customHeight="1" x14ac:dyDescent="0.3">
      <c r="A191" s="4" t="s">
        <v>410</v>
      </c>
      <c r="B191" s="4" t="s">
        <v>422</v>
      </c>
      <c r="C191" s="4" t="s">
        <v>8</v>
      </c>
      <c r="D191" s="4" t="s">
        <v>415</v>
      </c>
      <c r="E191" s="4">
        <v>52000</v>
      </c>
      <c r="F191" s="4">
        <v>29150</v>
      </c>
      <c r="G191" s="4" t="s">
        <v>423</v>
      </c>
      <c r="H191" s="4">
        <v>18</v>
      </c>
    </row>
    <row r="192" spans="1:8" s="2" customFormat="1" ht="20.05" customHeight="1" x14ac:dyDescent="0.3">
      <c r="A192" s="4" t="s">
        <v>410</v>
      </c>
      <c r="B192" s="4"/>
      <c r="C192" s="4" t="s">
        <v>424</v>
      </c>
      <c r="D192" s="4" t="s">
        <v>205</v>
      </c>
      <c r="E192" s="4">
        <v>30000</v>
      </c>
      <c r="F192" s="4">
        <v>0</v>
      </c>
      <c r="G192" s="4" t="s">
        <v>425</v>
      </c>
      <c r="H192" s="4">
        <v>3</v>
      </c>
    </row>
    <row r="193" spans="1:8" ht="20.05" customHeight="1" x14ac:dyDescent="0.3">
      <c r="A193" s="4" t="s">
        <v>410</v>
      </c>
      <c r="B193" s="4" t="s">
        <v>426</v>
      </c>
      <c r="C193" s="4" t="s">
        <v>8</v>
      </c>
      <c r="D193" s="4" t="s">
        <v>420</v>
      </c>
      <c r="E193" s="4">
        <v>62000</v>
      </c>
      <c r="F193" s="4">
        <v>19000</v>
      </c>
      <c r="G193" s="4" t="s">
        <v>427</v>
      </c>
      <c r="H193" s="4">
        <v>5.5</v>
      </c>
    </row>
    <row r="194" spans="1:8" ht="20.05" customHeight="1" x14ac:dyDescent="0.3">
      <c r="A194" s="4" t="s">
        <v>410</v>
      </c>
      <c r="B194" s="4" t="s">
        <v>428</v>
      </c>
      <c r="C194" s="4" t="s">
        <v>8</v>
      </c>
      <c r="D194" s="4" t="s">
        <v>420</v>
      </c>
      <c r="E194" s="4">
        <v>160000</v>
      </c>
      <c r="F194" s="4">
        <v>60000</v>
      </c>
      <c r="G194" s="4" t="s">
        <v>429</v>
      </c>
      <c r="H194" s="4">
        <v>23.5</v>
      </c>
    </row>
    <row r="195" spans="1:8" ht="20.05" customHeight="1" x14ac:dyDescent="0.3">
      <c r="A195" s="4" t="s">
        <v>410</v>
      </c>
      <c r="B195" s="4" t="s">
        <v>428</v>
      </c>
      <c r="C195" s="4" t="s">
        <v>8</v>
      </c>
      <c r="D195" s="4" t="s">
        <v>415</v>
      </c>
      <c r="E195" s="4">
        <v>160000</v>
      </c>
      <c r="F195" s="4">
        <v>28600</v>
      </c>
      <c r="G195" s="4" t="s">
        <v>430</v>
      </c>
      <c r="H195" s="4">
        <v>20</v>
      </c>
    </row>
    <row r="196" spans="1:8" ht="20.05" customHeight="1" x14ac:dyDescent="0.3">
      <c r="A196" s="4" t="s">
        <v>410</v>
      </c>
      <c r="B196" s="4"/>
      <c r="C196" s="4" t="s">
        <v>431</v>
      </c>
      <c r="D196" s="4" t="s">
        <v>341</v>
      </c>
      <c r="E196" s="4">
        <v>27500</v>
      </c>
      <c r="F196" s="4">
        <v>26650</v>
      </c>
      <c r="G196" s="4" t="s">
        <v>432</v>
      </c>
      <c r="H196" s="4">
        <v>2</v>
      </c>
    </row>
    <row r="197" spans="1:8" ht="20.05" customHeight="1" x14ac:dyDescent="0.3">
      <c r="A197" s="4" t="s">
        <v>410</v>
      </c>
      <c r="B197" s="4"/>
      <c r="C197" s="4" t="s">
        <v>433</v>
      </c>
      <c r="D197" s="4" t="s">
        <v>434</v>
      </c>
      <c r="E197" s="4">
        <v>10000</v>
      </c>
      <c r="F197" s="4">
        <v>9105.1572359999991</v>
      </c>
      <c r="G197" s="4" t="s">
        <v>435</v>
      </c>
      <c r="H197" s="4">
        <v>3</v>
      </c>
    </row>
    <row r="198" spans="1:8" ht="20.05" customHeight="1" x14ac:dyDescent="0.3">
      <c r="A198" s="4" t="s">
        <v>410</v>
      </c>
      <c r="B198" s="4" t="s">
        <v>417</v>
      </c>
      <c r="C198" s="4" t="s">
        <v>8</v>
      </c>
      <c r="D198" s="4" t="s">
        <v>436</v>
      </c>
      <c r="E198" s="4">
        <v>25000</v>
      </c>
      <c r="F198" s="4">
        <v>7000</v>
      </c>
      <c r="G198" s="4" t="s">
        <v>437</v>
      </c>
      <c r="H198" s="4">
        <v>5</v>
      </c>
    </row>
    <row r="199" spans="1:8" ht="20.05" customHeight="1" x14ac:dyDescent="0.3">
      <c r="A199" s="4" t="s">
        <v>410</v>
      </c>
      <c r="B199" s="4"/>
      <c r="C199" s="4" t="s">
        <v>424</v>
      </c>
      <c r="D199" s="4" t="s">
        <v>438</v>
      </c>
      <c r="E199" s="4">
        <v>1000</v>
      </c>
      <c r="F199" s="4">
        <v>1000</v>
      </c>
      <c r="G199" s="4" t="s">
        <v>439</v>
      </c>
      <c r="H199" s="4">
        <v>1</v>
      </c>
    </row>
    <row r="200" spans="1:8" ht="20.05" customHeight="1" x14ac:dyDescent="0.3">
      <c r="A200" s="4" t="s">
        <v>410</v>
      </c>
      <c r="B200" s="4"/>
      <c r="C200" s="4" t="s">
        <v>424</v>
      </c>
      <c r="D200" s="4" t="s">
        <v>440</v>
      </c>
      <c r="E200" s="4">
        <v>5000</v>
      </c>
      <c r="F200" s="4">
        <v>5000</v>
      </c>
      <c r="G200" s="4" t="s">
        <v>441</v>
      </c>
      <c r="H200" s="4">
        <v>2</v>
      </c>
    </row>
    <row r="201" spans="1:8" ht="20.05" customHeight="1" x14ac:dyDescent="0.3">
      <c r="A201" s="4" t="s">
        <v>410</v>
      </c>
      <c r="B201" s="4"/>
      <c r="C201" s="4" t="s">
        <v>433</v>
      </c>
      <c r="D201" s="4" t="s">
        <v>442</v>
      </c>
      <c r="E201" s="4">
        <v>10000</v>
      </c>
      <c r="F201" s="4">
        <v>8333.3333340000008</v>
      </c>
      <c r="G201" s="4" t="s">
        <v>443</v>
      </c>
      <c r="H201" s="4">
        <v>3</v>
      </c>
    </row>
    <row r="202" spans="1:8" ht="20.05" customHeight="1" x14ac:dyDescent="0.3">
      <c r="A202" s="4" t="s">
        <v>410</v>
      </c>
      <c r="B202" s="4"/>
      <c r="C202" s="4" t="s">
        <v>424</v>
      </c>
      <c r="D202" s="4" t="s">
        <v>205</v>
      </c>
      <c r="E202" s="4">
        <v>30000</v>
      </c>
      <c r="F202" s="4">
        <v>30000</v>
      </c>
      <c r="G202" s="4" t="s">
        <v>444</v>
      </c>
      <c r="H202" s="4">
        <v>3</v>
      </c>
    </row>
    <row r="203" spans="1:8" ht="20.05" customHeight="1" x14ac:dyDescent="0.3">
      <c r="A203" s="4" t="s">
        <v>410</v>
      </c>
      <c r="B203" s="4"/>
      <c r="C203" s="4" t="s">
        <v>433</v>
      </c>
      <c r="D203" s="4" t="s">
        <v>445</v>
      </c>
      <c r="E203" s="4">
        <v>10000</v>
      </c>
      <c r="F203" s="4">
        <v>10000</v>
      </c>
      <c r="G203" s="4" t="s">
        <v>446</v>
      </c>
      <c r="H203" s="4">
        <v>3</v>
      </c>
    </row>
    <row r="204" spans="1:8" ht="20.05" customHeight="1" x14ac:dyDescent="0.3">
      <c r="A204" s="4" t="s">
        <v>410</v>
      </c>
      <c r="B204" s="4" t="s">
        <v>447</v>
      </c>
      <c r="C204" s="4" t="s">
        <v>8</v>
      </c>
      <c r="D204" s="4" t="s">
        <v>9</v>
      </c>
      <c r="E204" s="4">
        <v>85000</v>
      </c>
      <c r="F204" s="4">
        <v>4402.5591999999997</v>
      </c>
      <c r="G204" s="4" t="s">
        <v>448</v>
      </c>
      <c r="H204" s="4">
        <v>15</v>
      </c>
    </row>
    <row r="205" spans="1:8" ht="20.05" customHeight="1" x14ac:dyDescent="0.3">
      <c r="A205" s="4" t="s">
        <v>410</v>
      </c>
      <c r="B205" s="4" t="s">
        <v>449</v>
      </c>
      <c r="C205" s="4" t="s">
        <v>8</v>
      </c>
      <c r="D205" s="4" t="s">
        <v>450</v>
      </c>
      <c r="E205" s="4">
        <v>23000</v>
      </c>
      <c r="F205" s="4">
        <v>19500</v>
      </c>
      <c r="G205" s="4" t="s">
        <v>451</v>
      </c>
      <c r="H205" s="4">
        <v>3</v>
      </c>
    </row>
    <row r="206" spans="1:8" ht="20.05" customHeight="1" x14ac:dyDescent="0.3">
      <c r="A206" s="4" t="s">
        <v>410</v>
      </c>
      <c r="B206" s="4"/>
      <c r="C206" s="4" t="s">
        <v>433</v>
      </c>
      <c r="D206" s="4" t="s">
        <v>117</v>
      </c>
      <c r="E206" s="4">
        <v>5000</v>
      </c>
      <c r="F206" s="4">
        <v>5000</v>
      </c>
      <c r="G206" s="4" t="s">
        <v>452</v>
      </c>
      <c r="H206" s="4">
        <v>3</v>
      </c>
    </row>
    <row r="207" spans="1:8" ht="20.05" customHeight="1" x14ac:dyDescent="0.3">
      <c r="A207" s="4" t="s">
        <v>410</v>
      </c>
      <c r="B207" s="4"/>
      <c r="C207" s="4" t="s">
        <v>424</v>
      </c>
      <c r="D207" s="4" t="s">
        <v>453</v>
      </c>
      <c r="E207" s="4">
        <v>10000</v>
      </c>
      <c r="F207" s="4">
        <v>10000</v>
      </c>
      <c r="G207" s="4" t="s">
        <v>454</v>
      </c>
      <c r="H207" s="4">
        <v>2</v>
      </c>
    </row>
    <row r="208" spans="1:8" ht="20.05" customHeight="1" x14ac:dyDescent="0.3">
      <c r="A208" s="4" t="s">
        <v>455</v>
      </c>
      <c r="B208" s="4" t="s">
        <v>456</v>
      </c>
      <c r="C208" s="4" t="s">
        <v>412</v>
      </c>
      <c r="D208" s="4" t="s">
        <v>457</v>
      </c>
      <c r="E208" s="4">
        <v>1310000</v>
      </c>
      <c r="F208" s="4">
        <v>60000</v>
      </c>
      <c r="G208" s="4" t="s">
        <v>458</v>
      </c>
      <c r="H208" s="4">
        <v>19</v>
      </c>
    </row>
    <row r="209" spans="1:8" ht="20.05" customHeight="1" x14ac:dyDescent="0.3">
      <c r="A209" s="4" t="s">
        <v>455</v>
      </c>
      <c r="B209" s="4"/>
      <c r="C209" s="4" t="s">
        <v>412</v>
      </c>
      <c r="D209" s="4" t="s">
        <v>459</v>
      </c>
      <c r="E209" s="4">
        <v>1000</v>
      </c>
      <c r="F209" s="4">
        <v>1000</v>
      </c>
      <c r="G209" s="4" t="s">
        <v>24</v>
      </c>
      <c r="H209" s="4">
        <v>1</v>
      </c>
    </row>
    <row r="210" spans="1:8" ht="20.05" customHeight="1" x14ac:dyDescent="0.3">
      <c r="A210" s="4" t="s">
        <v>455</v>
      </c>
      <c r="B210" s="4"/>
      <c r="C210" s="4" t="s">
        <v>433</v>
      </c>
      <c r="D210" s="4" t="s">
        <v>460</v>
      </c>
      <c r="E210" s="6">
        <v>20000</v>
      </c>
      <c r="F210" s="4">
        <v>17000</v>
      </c>
      <c r="G210" s="4" t="s">
        <v>461</v>
      </c>
      <c r="H210" s="4">
        <v>5</v>
      </c>
    </row>
    <row r="211" spans="1:8" ht="20.05" customHeight="1" x14ac:dyDescent="0.3">
      <c r="A211" s="4" t="s">
        <v>462</v>
      </c>
      <c r="B211" s="4" t="s">
        <v>19</v>
      </c>
      <c r="C211" s="4" t="s">
        <v>19</v>
      </c>
      <c r="D211" s="4" t="s">
        <v>463</v>
      </c>
      <c r="E211" s="4">
        <v>4300</v>
      </c>
      <c r="F211" s="4">
        <v>4300</v>
      </c>
      <c r="G211" s="4" t="s">
        <v>464</v>
      </c>
      <c r="H211" s="4"/>
    </row>
    <row r="212" spans="1:8" ht="20.05" customHeight="1" x14ac:dyDescent="0.3">
      <c r="A212" s="4" t="s">
        <v>465</v>
      </c>
      <c r="B212" s="4" t="s">
        <v>466</v>
      </c>
      <c r="C212" s="4" t="s">
        <v>467</v>
      </c>
      <c r="D212" s="4" t="s">
        <v>468</v>
      </c>
      <c r="E212" s="4">
        <v>80000</v>
      </c>
      <c r="F212" s="4">
        <v>35837.5</v>
      </c>
      <c r="G212" s="4" t="s">
        <v>723</v>
      </c>
      <c r="H212" s="4"/>
    </row>
    <row r="213" spans="1:8" ht="20.05" customHeight="1" x14ac:dyDescent="0.3">
      <c r="A213" s="4" t="s">
        <v>462</v>
      </c>
      <c r="B213" s="4" t="s">
        <v>469</v>
      </c>
      <c r="C213" s="4" t="s">
        <v>469</v>
      </c>
      <c r="D213" s="4" t="s">
        <v>112</v>
      </c>
      <c r="E213" s="4">
        <v>10000</v>
      </c>
      <c r="F213" s="4">
        <v>6560</v>
      </c>
      <c r="G213" s="4" t="s">
        <v>724</v>
      </c>
      <c r="H213" s="4" t="s">
        <v>470</v>
      </c>
    </row>
    <row r="214" spans="1:8" ht="20.05" customHeight="1" x14ac:dyDescent="0.3">
      <c r="A214" s="4" t="s">
        <v>462</v>
      </c>
      <c r="B214" s="4" t="s">
        <v>471</v>
      </c>
      <c r="C214" s="4" t="s">
        <v>472</v>
      </c>
      <c r="D214" s="4" t="s">
        <v>193</v>
      </c>
      <c r="E214" s="4">
        <v>70000</v>
      </c>
      <c r="F214" s="4">
        <v>10000</v>
      </c>
      <c r="G214" s="4" t="s">
        <v>473</v>
      </c>
      <c r="H214" s="4"/>
    </row>
    <row r="215" spans="1:8" ht="20.05" customHeight="1" x14ac:dyDescent="0.3">
      <c r="A215" s="4" t="s">
        <v>462</v>
      </c>
      <c r="B215" s="4" t="s">
        <v>472</v>
      </c>
      <c r="C215" s="4" t="s">
        <v>472</v>
      </c>
      <c r="D215" s="4" t="s">
        <v>474</v>
      </c>
      <c r="E215" s="4">
        <v>20000</v>
      </c>
      <c r="F215" s="4">
        <v>12200</v>
      </c>
      <c r="G215" s="4" t="s">
        <v>475</v>
      </c>
      <c r="H215" s="4"/>
    </row>
    <row r="216" spans="1:8" ht="20.05" customHeight="1" x14ac:dyDescent="0.3">
      <c r="A216" s="4" t="s">
        <v>462</v>
      </c>
      <c r="B216" s="4" t="s">
        <v>476</v>
      </c>
      <c r="C216" s="4" t="s">
        <v>472</v>
      </c>
      <c r="D216" s="4" t="s">
        <v>196</v>
      </c>
      <c r="E216" s="4">
        <v>112000</v>
      </c>
      <c r="F216" s="4">
        <v>49977.684442999998</v>
      </c>
      <c r="G216" s="4" t="s">
        <v>725</v>
      </c>
      <c r="H216" s="4"/>
    </row>
    <row r="217" spans="1:8" ht="20.05" customHeight="1" x14ac:dyDescent="0.3">
      <c r="A217" s="4" t="s">
        <v>462</v>
      </c>
      <c r="B217" s="4" t="s">
        <v>19</v>
      </c>
      <c r="C217" s="4" t="s">
        <v>472</v>
      </c>
      <c r="D217" s="4" t="s">
        <v>477</v>
      </c>
      <c r="E217" s="4">
        <v>7000</v>
      </c>
      <c r="F217" s="4">
        <v>7000</v>
      </c>
      <c r="G217" s="4" t="s">
        <v>478</v>
      </c>
      <c r="H217" s="4"/>
    </row>
    <row r="218" spans="1:8" ht="20.05" customHeight="1" x14ac:dyDescent="0.3">
      <c r="A218" s="4" t="s">
        <v>462</v>
      </c>
      <c r="B218" s="4" t="s">
        <v>479</v>
      </c>
      <c r="C218" s="4" t="s">
        <v>472</v>
      </c>
      <c r="D218" s="4" t="s">
        <v>474</v>
      </c>
      <c r="E218" s="4">
        <v>20000</v>
      </c>
      <c r="F218" s="4">
        <v>12000</v>
      </c>
      <c r="G218" s="4" t="s">
        <v>480</v>
      </c>
      <c r="H218" s="4"/>
    </row>
    <row r="219" spans="1:8" ht="20.05" customHeight="1" x14ac:dyDescent="0.3">
      <c r="A219" s="4" t="s">
        <v>462</v>
      </c>
      <c r="B219" s="4" t="s">
        <v>481</v>
      </c>
      <c r="C219" s="4" t="s">
        <v>472</v>
      </c>
      <c r="D219" s="4" t="s">
        <v>193</v>
      </c>
      <c r="E219" s="4">
        <v>120000</v>
      </c>
      <c r="F219" s="4">
        <v>45198</v>
      </c>
      <c r="G219" s="4" t="s">
        <v>482</v>
      </c>
      <c r="H219" s="4"/>
    </row>
    <row r="220" spans="1:8" ht="20.05" customHeight="1" x14ac:dyDescent="0.3">
      <c r="A220" s="4" t="s">
        <v>462</v>
      </c>
      <c r="B220" s="4" t="s">
        <v>483</v>
      </c>
      <c r="C220" s="4" t="s">
        <v>472</v>
      </c>
      <c r="D220" s="4" t="s">
        <v>468</v>
      </c>
      <c r="E220" s="4">
        <v>78000</v>
      </c>
      <c r="F220" s="4">
        <v>57068.72251</v>
      </c>
      <c r="G220" s="4" t="s">
        <v>726</v>
      </c>
      <c r="H220" s="4" t="s">
        <v>484</v>
      </c>
    </row>
    <row r="221" spans="1:8" ht="20.05" customHeight="1" x14ac:dyDescent="0.3">
      <c r="A221" s="4" t="s">
        <v>462</v>
      </c>
      <c r="B221" s="4" t="s">
        <v>469</v>
      </c>
      <c r="C221" s="4" t="s">
        <v>469</v>
      </c>
      <c r="D221" s="4" t="s">
        <v>112</v>
      </c>
      <c r="E221" s="4">
        <v>7500</v>
      </c>
      <c r="F221" s="4">
        <v>7200</v>
      </c>
      <c r="G221" s="4" t="s">
        <v>727</v>
      </c>
      <c r="H221" s="4" t="s">
        <v>485</v>
      </c>
    </row>
    <row r="222" spans="1:8" ht="20.05" customHeight="1" x14ac:dyDescent="0.3">
      <c r="A222" s="4" t="s">
        <v>462</v>
      </c>
      <c r="B222" s="4" t="s">
        <v>486</v>
      </c>
      <c r="C222" s="4" t="s">
        <v>472</v>
      </c>
      <c r="D222" s="4" t="s">
        <v>182</v>
      </c>
      <c r="E222" s="4">
        <v>119000</v>
      </c>
      <c r="F222" s="4">
        <v>62600</v>
      </c>
      <c r="G222" s="4" t="s">
        <v>728</v>
      </c>
      <c r="H222" s="4"/>
    </row>
    <row r="223" spans="1:8" ht="20.05" customHeight="1" x14ac:dyDescent="0.3">
      <c r="A223" s="4" t="s">
        <v>462</v>
      </c>
      <c r="B223" s="4" t="s">
        <v>487</v>
      </c>
      <c r="C223" s="4" t="s">
        <v>472</v>
      </c>
      <c r="D223" s="4" t="s">
        <v>477</v>
      </c>
      <c r="E223" s="4">
        <v>25000</v>
      </c>
      <c r="F223" s="4">
        <v>23500</v>
      </c>
      <c r="G223" s="4" t="s">
        <v>488</v>
      </c>
      <c r="H223" s="4"/>
    </row>
    <row r="224" spans="1:8" ht="20.05" customHeight="1" x14ac:dyDescent="0.3">
      <c r="A224" s="4" t="s">
        <v>462</v>
      </c>
      <c r="B224" s="4" t="s">
        <v>489</v>
      </c>
      <c r="C224" s="4" t="s">
        <v>472</v>
      </c>
      <c r="D224" s="4" t="s">
        <v>196</v>
      </c>
      <c r="E224" s="4">
        <v>61500</v>
      </c>
      <c r="F224" s="9">
        <v>17090.082030000001</v>
      </c>
      <c r="G224" s="4" t="s">
        <v>729</v>
      </c>
      <c r="H224" s="4" t="s">
        <v>484</v>
      </c>
    </row>
    <row r="225" spans="1:8" ht="20.05" customHeight="1" x14ac:dyDescent="0.3">
      <c r="A225" s="4" t="s">
        <v>462</v>
      </c>
      <c r="B225" s="4" t="s">
        <v>490</v>
      </c>
      <c r="C225" s="4" t="s">
        <v>491</v>
      </c>
      <c r="D225" s="4" t="s">
        <v>492</v>
      </c>
      <c r="E225" s="4">
        <v>10000</v>
      </c>
      <c r="F225" s="4">
        <v>10000</v>
      </c>
      <c r="G225" s="4" t="s">
        <v>493</v>
      </c>
      <c r="H225" s="4" t="s">
        <v>25</v>
      </c>
    </row>
    <row r="226" spans="1:8" ht="20.05" customHeight="1" x14ac:dyDescent="0.3">
      <c r="A226" s="4" t="s">
        <v>462</v>
      </c>
      <c r="B226" s="4" t="s">
        <v>494</v>
      </c>
      <c r="C226" s="4" t="s">
        <v>472</v>
      </c>
      <c r="D226" s="4" t="s">
        <v>196</v>
      </c>
      <c r="E226" s="4">
        <v>96000</v>
      </c>
      <c r="F226" s="4">
        <v>37415</v>
      </c>
      <c r="G226" s="4" t="s">
        <v>730</v>
      </c>
      <c r="H226" s="4" t="s">
        <v>495</v>
      </c>
    </row>
    <row r="227" spans="1:8" ht="20.05" customHeight="1" x14ac:dyDescent="0.3">
      <c r="A227" s="4" t="s">
        <v>462</v>
      </c>
      <c r="B227" s="4" t="s">
        <v>19</v>
      </c>
      <c r="C227" s="4" t="s">
        <v>19</v>
      </c>
      <c r="D227" s="4" t="s">
        <v>496</v>
      </c>
      <c r="E227" s="4">
        <v>1000</v>
      </c>
      <c r="F227" s="4">
        <v>1000</v>
      </c>
      <c r="G227" s="10" t="s">
        <v>497</v>
      </c>
      <c r="H227" s="10"/>
    </row>
    <row r="228" spans="1:8" ht="20.05" customHeight="1" x14ac:dyDescent="0.3">
      <c r="A228" s="4" t="s">
        <v>462</v>
      </c>
      <c r="B228" s="4" t="s">
        <v>498</v>
      </c>
      <c r="C228" s="4" t="s">
        <v>472</v>
      </c>
      <c r="D228" s="4" t="s">
        <v>499</v>
      </c>
      <c r="E228" s="4">
        <v>30000</v>
      </c>
      <c r="F228" s="4">
        <v>7080.3640999999998</v>
      </c>
      <c r="G228" s="10" t="s">
        <v>500</v>
      </c>
      <c r="H228" s="10"/>
    </row>
    <row r="229" spans="1:8" ht="20.05" customHeight="1" x14ac:dyDescent="0.3">
      <c r="A229" s="4" t="s">
        <v>462</v>
      </c>
      <c r="B229" s="4" t="s">
        <v>501</v>
      </c>
      <c r="C229" s="4" t="s">
        <v>472</v>
      </c>
      <c r="D229" s="4" t="s">
        <v>502</v>
      </c>
      <c r="E229" s="4">
        <v>28000</v>
      </c>
      <c r="F229" s="4">
        <v>25000</v>
      </c>
      <c r="G229" s="10" t="s">
        <v>503</v>
      </c>
      <c r="H229" s="10"/>
    </row>
    <row r="230" spans="1:8" ht="20.05" customHeight="1" x14ac:dyDescent="0.3">
      <c r="A230" s="4" t="s">
        <v>462</v>
      </c>
      <c r="B230" s="4" t="s">
        <v>504</v>
      </c>
      <c r="C230" s="4" t="s">
        <v>472</v>
      </c>
      <c r="D230" s="4" t="s">
        <v>182</v>
      </c>
      <c r="E230" s="4">
        <v>7800</v>
      </c>
      <c r="F230" s="4">
        <v>7508</v>
      </c>
      <c r="G230" s="10" t="s">
        <v>731</v>
      </c>
      <c r="H230" s="10" t="s">
        <v>505</v>
      </c>
    </row>
    <row r="231" spans="1:8" ht="20.05" customHeight="1" x14ac:dyDescent="0.3">
      <c r="A231" s="4" t="s">
        <v>462</v>
      </c>
      <c r="B231" s="4" t="s">
        <v>13</v>
      </c>
      <c r="C231" s="4" t="s">
        <v>13</v>
      </c>
      <c r="D231" s="4" t="s">
        <v>506</v>
      </c>
      <c r="E231" s="4">
        <v>6500</v>
      </c>
      <c r="F231" s="4">
        <v>6500</v>
      </c>
      <c r="G231" s="4" t="s">
        <v>507</v>
      </c>
      <c r="H231" s="4"/>
    </row>
    <row r="232" spans="1:8" ht="20.05" customHeight="1" x14ac:dyDescent="0.3">
      <c r="A232" s="4" t="s">
        <v>508</v>
      </c>
      <c r="B232" s="4" t="s">
        <v>19</v>
      </c>
      <c r="C232" s="4" t="s">
        <v>19</v>
      </c>
      <c r="D232" s="4" t="s">
        <v>436</v>
      </c>
      <c r="E232" s="12">
        <v>7000</v>
      </c>
      <c r="F232" s="4">
        <v>4500</v>
      </c>
      <c r="G232" s="4" t="s">
        <v>509</v>
      </c>
      <c r="H232" s="4" t="s">
        <v>25</v>
      </c>
    </row>
    <row r="233" spans="1:8" ht="20.05" customHeight="1" x14ac:dyDescent="0.3">
      <c r="A233" s="4" t="s">
        <v>508</v>
      </c>
      <c r="B233" s="4" t="s">
        <v>19</v>
      </c>
      <c r="C233" s="4" t="s">
        <v>19</v>
      </c>
      <c r="D233" s="4" t="s">
        <v>436</v>
      </c>
      <c r="E233" s="12"/>
      <c r="F233" s="4">
        <v>1090</v>
      </c>
      <c r="G233" s="4" t="s">
        <v>510</v>
      </c>
      <c r="H233" s="4" t="s">
        <v>511</v>
      </c>
    </row>
    <row r="234" spans="1:8" ht="20.05" customHeight="1" x14ac:dyDescent="0.3">
      <c r="A234" s="4" t="s">
        <v>508</v>
      </c>
      <c r="B234" s="4" t="s">
        <v>19</v>
      </c>
      <c r="C234" s="4" t="s">
        <v>19</v>
      </c>
      <c r="D234" s="4" t="s">
        <v>512</v>
      </c>
      <c r="E234" s="12">
        <v>8000</v>
      </c>
      <c r="F234" s="4">
        <v>3700</v>
      </c>
      <c r="G234" s="4" t="s">
        <v>513</v>
      </c>
      <c r="H234" s="4" t="s">
        <v>16</v>
      </c>
    </row>
    <row r="235" spans="1:8" ht="20.05" customHeight="1" x14ac:dyDescent="0.3">
      <c r="A235" s="4" t="s">
        <v>508</v>
      </c>
      <c r="B235" s="4" t="s">
        <v>19</v>
      </c>
      <c r="C235" s="4" t="s">
        <v>19</v>
      </c>
      <c r="D235" s="4" t="s">
        <v>512</v>
      </c>
      <c r="E235" s="12"/>
      <c r="F235" s="4">
        <v>1850</v>
      </c>
      <c r="G235" s="4" t="s">
        <v>514</v>
      </c>
      <c r="H235" s="4" t="s">
        <v>16</v>
      </c>
    </row>
    <row r="236" spans="1:8" ht="20.05" customHeight="1" x14ac:dyDescent="0.3">
      <c r="A236" s="4" t="s">
        <v>508</v>
      </c>
      <c r="B236" s="4" t="s">
        <v>19</v>
      </c>
      <c r="C236" s="4" t="s">
        <v>19</v>
      </c>
      <c r="D236" s="4" t="s">
        <v>512</v>
      </c>
      <c r="E236" s="12"/>
      <c r="F236" s="4">
        <v>1600</v>
      </c>
      <c r="G236" s="4" t="s">
        <v>515</v>
      </c>
      <c r="H236" s="4" t="s">
        <v>16</v>
      </c>
    </row>
    <row r="237" spans="1:8" ht="20.05" customHeight="1" x14ac:dyDescent="0.3">
      <c r="A237" s="4" t="s">
        <v>508</v>
      </c>
      <c r="B237" s="4" t="s">
        <v>19</v>
      </c>
      <c r="C237" s="4" t="s">
        <v>19</v>
      </c>
      <c r="D237" s="4" t="s">
        <v>516</v>
      </c>
      <c r="E237" s="4">
        <v>3000</v>
      </c>
      <c r="F237" s="4">
        <v>3000</v>
      </c>
      <c r="G237" s="4" t="s">
        <v>517</v>
      </c>
      <c r="H237" s="4" t="s">
        <v>16</v>
      </c>
    </row>
    <row r="238" spans="1:8" ht="20.05" customHeight="1" x14ac:dyDescent="0.3">
      <c r="A238" s="4" t="s">
        <v>508</v>
      </c>
      <c r="B238" s="4" t="s">
        <v>518</v>
      </c>
      <c r="C238" s="4" t="s">
        <v>518</v>
      </c>
      <c r="D238" s="4" t="s">
        <v>519</v>
      </c>
      <c r="E238" s="4">
        <v>8000</v>
      </c>
      <c r="F238" s="4">
        <v>6800</v>
      </c>
      <c r="G238" s="4" t="s">
        <v>520</v>
      </c>
      <c r="H238" s="4" t="s">
        <v>16</v>
      </c>
    </row>
    <row r="239" spans="1:8" s="2" customFormat="1" ht="20.05" customHeight="1" x14ac:dyDescent="0.3">
      <c r="A239" s="4" t="s">
        <v>508</v>
      </c>
      <c r="B239" s="4" t="s">
        <v>19</v>
      </c>
      <c r="C239" s="4" t="s">
        <v>19</v>
      </c>
      <c r="D239" s="4" t="s">
        <v>440</v>
      </c>
      <c r="E239" s="4">
        <v>5000</v>
      </c>
      <c r="F239" s="4">
        <v>0</v>
      </c>
      <c r="G239" s="4" t="s">
        <v>521</v>
      </c>
      <c r="H239" s="4" t="s">
        <v>16</v>
      </c>
    </row>
    <row r="240" spans="1:8" ht="20.05" customHeight="1" x14ac:dyDescent="0.3">
      <c r="A240" s="4" t="s">
        <v>508</v>
      </c>
      <c r="B240" s="4" t="s">
        <v>19</v>
      </c>
      <c r="C240" s="4" t="s">
        <v>19</v>
      </c>
      <c r="D240" s="4" t="s">
        <v>522</v>
      </c>
      <c r="E240" s="12">
        <v>15000</v>
      </c>
      <c r="F240" s="4">
        <v>4500</v>
      </c>
      <c r="G240" s="4" t="s">
        <v>523</v>
      </c>
      <c r="H240" s="4" t="s">
        <v>16</v>
      </c>
    </row>
    <row r="241" spans="1:8" ht="20.05" customHeight="1" x14ac:dyDescent="0.3">
      <c r="A241" s="4" t="s">
        <v>508</v>
      </c>
      <c r="B241" s="4" t="s">
        <v>19</v>
      </c>
      <c r="C241" s="4" t="s">
        <v>19</v>
      </c>
      <c r="D241" s="4" t="s">
        <v>522</v>
      </c>
      <c r="E241" s="12"/>
      <c r="F241" s="4">
        <v>0</v>
      </c>
      <c r="G241" s="4" t="s">
        <v>524</v>
      </c>
      <c r="H241" s="4" t="s">
        <v>25</v>
      </c>
    </row>
    <row r="242" spans="1:8" ht="20.05" customHeight="1" x14ac:dyDescent="0.3">
      <c r="A242" s="4" t="s">
        <v>508</v>
      </c>
      <c r="B242" s="4" t="s">
        <v>19</v>
      </c>
      <c r="C242" s="4" t="s">
        <v>19</v>
      </c>
      <c r="D242" s="4" t="s">
        <v>522</v>
      </c>
      <c r="E242" s="12"/>
      <c r="F242" s="4">
        <v>84.5</v>
      </c>
      <c r="G242" s="4" t="s">
        <v>524</v>
      </c>
      <c r="H242" s="4" t="s">
        <v>25</v>
      </c>
    </row>
    <row r="243" spans="1:8" ht="20.05" customHeight="1" x14ac:dyDescent="0.3">
      <c r="A243" s="4" t="s">
        <v>508</v>
      </c>
      <c r="B243" s="4" t="s">
        <v>525</v>
      </c>
      <c r="C243" s="4" t="s">
        <v>525</v>
      </c>
      <c r="D243" s="4" t="s">
        <v>526</v>
      </c>
      <c r="E243" s="4">
        <v>15000</v>
      </c>
      <c r="F243" s="4">
        <v>15000</v>
      </c>
      <c r="G243" s="4" t="s">
        <v>527</v>
      </c>
      <c r="H243" s="4" t="s">
        <v>16</v>
      </c>
    </row>
    <row r="244" spans="1:8" ht="20.05" customHeight="1" x14ac:dyDescent="0.3">
      <c r="A244" s="4" t="s">
        <v>508</v>
      </c>
      <c r="B244" s="4" t="s">
        <v>19</v>
      </c>
      <c r="C244" s="4" t="s">
        <v>19</v>
      </c>
      <c r="D244" s="4" t="s">
        <v>528</v>
      </c>
      <c r="E244" s="4">
        <v>3000</v>
      </c>
      <c r="F244" s="4">
        <v>2910</v>
      </c>
      <c r="G244" s="4" t="s">
        <v>529</v>
      </c>
      <c r="H244" s="4" t="s">
        <v>22</v>
      </c>
    </row>
    <row r="245" spans="1:8" ht="20.05" customHeight="1" x14ac:dyDescent="0.3">
      <c r="A245" s="4" t="s">
        <v>508</v>
      </c>
      <c r="B245" s="4" t="s">
        <v>518</v>
      </c>
      <c r="C245" s="4" t="s">
        <v>518</v>
      </c>
      <c r="D245" s="4" t="s">
        <v>530</v>
      </c>
      <c r="E245" s="4">
        <v>12000</v>
      </c>
      <c r="F245" s="4">
        <v>9190</v>
      </c>
      <c r="G245" s="4" t="s">
        <v>531</v>
      </c>
      <c r="H245" s="4" t="s">
        <v>16</v>
      </c>
    </row>
    <row r="246" spans="1:8" ht="20.05" customHeight="1" x14ac:dyDescent="0.3">
      <c r="A246" s="4" t="s">
        <v>508</v>
      </c>
      <c r="B246" s="4" t="s">
        <v>518</v>
      </c>
      <c r="C246" s="4" t="s">
        <v>518</v>
      </c>
      <c r="D246" s="4" t="s">
        <v>532</v>
      </c>
      <c r="E246" s="4">
        <v>10000</v>
      </c>
      <c r="F246" s="4">
        <v>8447</v>
      </c>
      <c r="G246" s="4" t="s">
        <v>533</v>
      </c>
      <c r="H246" s="4" t="s">
        <v>16</v>
      </c>
    </row>
    <row r="247" spans="1:8" ht="20.05" customHeight="1" x14ac:dyDescent="0.3">
      <c r="A247" s="4" t="s">
        <v>508</v>
      </c>
      <c r="B247" s="4" t="s">
        <v>518</v>
      </c>
      <c r="C247" s="4" t="s">
        <v>518</v>
      </c>
      <c r="D247" s="4" t="s">
        <v>534</v>
      </c>
      <c r="E247" s="4">
        <v>5000</v>
      </c>
      <c r="F247" s="4">
        <v>4609</v>
      </c>
      <c r="G247" s="4" t="s">
        <v>535</v>
      </c>
      <c r="H247" s="4" t="s">
        <v>16</v>
      </c>
    </row>
    <row r="248" spans="1:8" ht="20.05" customHeight="1" x14ac:dyDescent="0.3">
      <c r="A248" s="4" t="s">
        <v>536</v>
      </c>
      <c r="B248" s="4" t="s">
        <v>19</v>
      </c>
      <c r="C248" s="4" t="s">
        <v>19</v>
      </c>
      <c r="D248" s="4" t="s">
        <v>528</v>
      </c>
      <c r="E248" s="4">
        <v>3000</v>
      </c>
      <c r="F248" s="4">
        <v>2970</v>
      </c>
      <c r="G248" s="4" t="s">
        <v>537</v>
      </c>
      <c r="H248" s="4" t="s">
        <v>22</v>
      </c>
    </row>
    <row r="249" spans="1:8" ht="20.05" customHeight="1" x14ac:dyDescent="0.3">
      <c r="A249" s="4" t="s">
        <v>536</v>
      </c>
      <c r="B249" s="4" t="s">
        <v>19</v>
      </c>
      <c r="C249" s="4" t="s">
        <v>19</v>
      </c>
      <c r="D249" s="4" t="s">
        <v>357</v>
      </c>
      <c r="E249" s="4">
        <v>850</v>
      </c>
      <c r="F249" s="4">
        <v>850</v>
      </c>
      <c r="G249" s="4" t="s">
        <v>538</v>
      </c>
      <c r="H249" s="4" t="s">
        <v>25</v>
      </c>
    </row>
    <row r="250" spans="1:8" ht="20.05" customHeight="1" x14ac:dyDescent="0.3">
      <c r="A250" s="4" t="s">
        <v>536</v>
      </c>
      <c r="B250" s="4" t="s">
        <v>19</v>
      </c>
      <c r="C250" s="4" t="s">
        <v>19</v>
      </c>
      <c r="D250" s="4" t="s">
        <v>539</v>
      </c>
      <c r="E250" s="4">
        <v>1000</v>
      </c>
      <c r="F250" s="4">
        <v>1000</v>
      </c>
      <c r="G250" s="4" t="s">
        <v>540</v>
      </c>
      <c r="H250" s="4" t="s">
        <v>25</v>
      </c>
    </row>
    <row r="251" spans="1:8" ht="20.05" customHeight="1" x14ac:dyDescent="0.3">
      <c r="A251" s="4" t="s">
        <v>541</v>
      </c>
      <c r="B251" s="4" t="s">
        <v>19</v>
      </c>
      <c r="C251" s="4" t="s">
        <v>19</v>
      </c>
      <c r="D251" s="4" t="s">
        <v>539</v>
      </c>
      <c r="E251" s="4">
        <v>1000</v>
      </c>
      <c r="F251" s="4">
        <v>1000</v>
      </c>
      <c r="G251" s="4" t="s">
        <v>540</v>
      </c>
      <c r="H251" s="4" t="s">
        <v>25</v>
      </c>
    </row>
    <row r="252" spans="1:8" ht="20.05" customHeight="1" x14ac:dyDescent="0.3">
      <c r="A252" s="4" t="s">
        <v>541</v>
      </c>
      <c r="B252" s="4" t="s">
        <v>19</v>
      </c>
      <c r="C252" s="4" t="s">
        <v>19</v>
      </c>
      <c r="D252" s="4" t="s">
        <v>357</v>
      </c>
      <c r="E252" s="4">
        <v>850</v>
      </c>
      <c r="F252" s="4">
        <v>850</v>
      </c>
      <c r="G252" s="4" t="s">
        <v>538</v>
      </c>
      <c r="H252" s="4" t="s">
        <v>25</v>
      </c>
    </row>
    <row r="253" spans="1:8" ht="20.05" customHeight="1" x14ac:dyDescent="0.3">
      <c r="A253" s="4" t="s">
        <v>542</v>
      </c>
      <c r="B253" s="4" t="s">
        <v>19</v>
      </c>
      <c r="C253" s="4" t="s">
        <v>19</v>
      </c>
      <c r="D253" s="4" t="s">
        <v>357</v>
      </c>
      <c r="E253" s="4">
        <v>850</v>
      </c>
      <c r="F253" s="4">
        <v>850</v>
      </c>
      <c r="G253" s="4" t="s">
        <v>538</v>
      </c>
      <c r="H253" s="4" t="s">
        <v>25</v>
      </c>
    </row>
    <row r="254" spans="1:8" ht="20.05" customHeight="1" x14ac:dyDescent="0.3">
      <c r="A254" s="4" t="s">
        <v>542</v>
      </c>
      <c r="B254" s="4" t="s">
        <v>19</v>
      </c>
      <c r="C254" s="4" t="s">
        <v>19</v>
      </c>
      <c r="D254" s="4" t="s">
        <v>539</v>
      </c>
      <c r="E254" s="4">
        <v>1000</v>
      </c>
      <c r="F254" s="4">
        <v>1000</v>
      </c>
      <c r="G254" s="4" t="s">
        <v>540</v>
      </c>
      <c r="H254" s="4" t="s">
        <v>25</v>
      </c>
    </row>
    <row r="255" spans="1:8" s="2" customFormat="1" ht="20.05" customHeight="1" x14ac:dyDescent="0.3">
      <c r="A255" s="4" t="s">
        <v>543</v>
      </c>
      <c r="B255" s="4" t="s">
        <v>19</v>
      </c>
      <c r="C255" s="4" t="s">
        <v>19</v>
      </c>
      <c r="D255" s="4" t="s">
        <v>436</v>
      </c>
      <c r="E255" s="4">
        <v>3000</v>
      </c>
      <c r="F255" s="4">
        <v>0</v>
      </c>
      <c r="G255" s="4" t="s">
        <v>544</v>
      </c>
      <c r="H255" s="4" t="s">
        <v>16</v>
      </c>
    </row>
    <row r="256" spans="1:8" ht="20.05" customHeight="1" x14ac:dyDescent="0.3">
      <c r="A256" s="4" t="s">
        <v>543</v>
      </c>
      <c r="B256" s="4" t="s">
        <v>518</v>
      </c>
      <c r="C256" s="4" t="s">
        <v>518</v>
      </c>
      <c r="D256" s="4" t="s">
        <v>545</v>
      </c>
      <c r="E256" s="4">
        <v>10000</v>
      </c>
      <c r="F256" s="4">
        <v>1762</v>
      </c>
      <c r="G256" s="4" t="s">
        <v>546</v>
      </c>
      <c r="H256" s="4" t="s">
        <v>16</v>
      </c>
    </row>
    <row r="257" spans="1:8" ht="20.05" customHeight="1" x14ac:dyDescent="0.3">
      <c r="A257" s="4" t="s">
        <v>547</v>
      </c>
      <c r="B257" s="4" t="s">
        <v>19</v>
      </c>
      <c r="C257" s="4" t="s">
        <v>19</v>
      </c>
      <c r="D257" s="4" t="s">
        <v>539</v>
      </c>
      <c r="E257" s="4">
        <v>1000</v>
      </c>
      <c r="F257" s="4">
        <v>1000</v>
      </c>
      <c r="G257" s="4" t="s">
        <v>540</v>
      </c>
      <c r="H257" s="4" t="s">
        <v>25</v>
      </c>
    </row>
    <row r="258" spans="1:8" ht="20.05" customHeight="1" x14ac:dyDescent="0.3">
      <c r="A258" s="4" t="s">
        <v>547</v>
      </c>
      <c r="B258" s="4" t="s">
        <v>19</v>
      </c>
      <c r="C258" s="4" t="s">
        <v>19</v>
      </c>
      <c r="D258" s="4" t="s">
        <v>528</v>
      </c>
      <c r="E258" s="4">
        <v>1000</v>
      </c>
      <c r="F258" s="4">
        <v>1000</v>
      </c>
      <c r="G258" s="4" t="s">
        <v>548</v>
      </c>
      <c r="H258" s="4" t="s">
        <v>16</v>
      </c>
    </row>
    <row r="259" spans="1:8" ht="20.05" customHeight="1" x14ac:dyDescent="0.3">
      <c r="A259" s="4" t="s">
        <v>549</v>
      </c>
      <c r="B259" s="4" t="s">
        <v>19</v>
      </c>
      <c r="C259" s="4" t="s">
        <v>19</v>
      </c>
      <c r="D259" s="4" t="s">
        <v>539</v>
      </c>
      <c r="E259" s="4">
        <v>1000</v>
      </c>
      <c r="F259" s="4">
        <v>1000</v>
      </c>
      <c r="G259" s="4" t="s">
        <v>540</v>
      </c>
      <c r="H259" s="4" t="s">
        <v>25</v>
      </c>
    </row>
    <row r="260" spans="1:8" ht="20.05" customHeight="1" x14ac:dyDescent="0.3">
      <c r="A260" s="4" t="s">
        <v>549</v>
      </c>
      <c r="B260" s="4" t="s">
        <v>19</v>
      </c>
      <c r="C260" s="4" t="s">
        <v>19</v>
      </c>
      <c r="D260" s="4" t="s">
        <v>436</v>
      </c>
      <c r="E260" s="4">
        <v>1000</v>
      </c>
      <c r="F260" s="4">
        <v>1000</v>
      </c>
      <c r="G260" s="4" t="s">
        <v>540</v>
      </c>
      <c r="H260" s="4" t="s">
        <v>25</v>
      </c>
    </row>
    <row r="261" spans="1:8" ht="20.05" customHeight="1" x14ac:dyDescent="0.3">
      <c r="A261" s="4" t="s">
        <v>549</v>
      </c>
      <c r="B261" s="4" t="s">
        <v>19</v>
      </c>
      <c r="C261" s="4" t="s">
        <v>19</v>
      </c>
      <c r="D261" s="4" t="s">
        <v>528</v>
      </c>
      <c r="E261" s="4">
        <v>1000</v>
      </c>
      <c r="F261" s="4">
        <v>1000</v>
      </c>
      <c r="G261" s="4" t="s">
        <v>550</v>
      </c>
      <c r="H261" s="4" t="s">
        <v>22</v>
      </c>
    </row>
    <row r="262" spans="1:8" s="2" customFormat="1" ht="20.05" customHeight="1" x14ac:dyDescent="0.3">
      <c r="A262" s="4" t="s">
        <v>551</v>
      </c>
      <c r="B262" s="4" t="s">
        <v>552</v>
      </c>
      <c r="C262" s="4" t="s">
        <v>19</v>
      </c>
      <c r="D262" s="4" t="s">
        <v>175</v>
      </c>
      <c r="E262" s="4">
        <v>10000</v>
      </c>
      <c r="F262" s="4">
        <v>0</v>
      </c>
      <c r="G262" s="11" t="s">
        <v>553</v>
      </c>
      <c r="H262" s="6">
        <v>3</v>
      </c>
    </row>
    <row r="263" spans="1:8" s="2" customFormat="1" ht="20.05" customHeight="1" x14ac:dyDescent="0.3">
      <c r="A263" s="4" t="s">
        <v>551</v>
      </c>
      <c r="B263" s="4" t="s">
        <v>554</v>
      </c>
      <c r="C263" s="4" t="s">
        <v>554</v>
      </c>
      <c r="D263" s="4" t="s">
        <v>436</v>
      </c>
      <c r="E263" s="4">
        <v>30000</v>
      </c>
      <c r="F263" s="4">
        <v>0</v>
      </c>
      <c r="G263" s="11" t="s">
        <v>555</v>
      </c>
      <c r="H263" s="6">
        <v>1</v>
      </c>
    </row>
    <row r="264" spans="1:8" ht="20.05" customHeight="1" x14ac:dyDescent="0.3">
      <c r="A264" s="4" t="s">
        <v>551</v>
      </c>
      <c r="B264" s="4" t="s">
        <v>556</v>
      </c>
      <c r="C264" s="4" t="s">
        <v>557</v>
      </c>
      <c r="D264" s="4" t="s">
        <v>558</v>
      </c>
      <c r="E264" s="4">
        <v>100000</v>
      </c>
      <c r="F264" s="4">
        <v>100000</v>
      </c>
      <c r="G264" s="11" t="s">
        <v>559</v>
      </c>
      <c r="H264" s="6">
        <v>5</v>
      </c>
    </row>
    <row r="265" spans="1:8" ht="20.05" customHeight="1" x14ac:dyDescent="0.3">
      <c r="A265" s="4" t="s">
        <v>551</v>
      </c>
      <c r="B265" s="4" t="s">
        <v>560</v>
      </c>
      <c r="C265" s="4" t="s">
        <v>557</v>
      </c>
      <c r="D265" s="4" t="s">
        <v>558</v>
      </c>
      <c r="E265" s="4">
        <v>100000</v>
      </c>
      <c r="F265" s="4">
        <v>100000</v>
      </c>
      <c r="G265" s="11" t="s">
        <v>561</v>
      </c>
      <c r="H265" s="6">
        <v>5</v>
      </c>
    </row>
    <row r="266" spans="1:8" s="2" customFormat="1" ht="20.05" customHeight="1" x14ac:dyDescent="0.3">
      <c r="A266" s="4" t="s">
        <v>551</v>
      </c>
      <c r="B266" s="4" t="s">
        <v>554</v>
      </c>
      <c r="C266" s="4" t="s">
        <v>554</v>
      </c>
      <c r="D266" s="4" t="s">
        <v>522</v>
      </c>
      <c r="E266" s="4">
        <v>50000</v>
      </c>
      <c r="F266" s="4">
        <v>0</v>
      </c>
      <c r="G266" s="11" t="s">
        <v>562</v>
      </c>
      <c r="H266" s="6">
        <v>1</v>
      </c>
    </row>
    <row r="267" spans="1:8" ht="20.05" customHeight="1" x14ac:dyDescent="0.3">
      <c r="A267" s="4" t="s">
        <v>551</v>
      </c>
      <c r="B267" s="4" t="s">
        <v>552</v>
      </c>
      <c r="C267" s="4" t="s">
        <v>19</v>
      </c>
      <c r="D267" s="4" t="s">
        <v>436</v>
      </c>
      <c r="E267" s="4">
        <v>30000</v>
      </c>
      <c r="F267" s="4">
        <v>28500</v>
      </c>
      <c r="G267" s="11" t="s">
        <v>563</v>
      </c>
      <c r="H267" s="6">
        <v>3</v>
      </c>
    </row>
    <row r="268" spans="1:8" ht="20.05" customHeight="1" x14ac:dyDescent="0.3">
      <c r="A268" s="4" t="s">
        <v>551</v>
      </c>
      <c r="B268" s="4" t="s">
        <v>564</v>
      </c>
      <c r="C268" s="4" t="s">
        <v>557</v>
      </c>
      <c r="D268" s="4" t="s">
        <v>558</v>
      </c>
      <c r="E268" s="4">
        <v>100000</v>
      </c>
      <c r="F268" s="4">
        <v>100000</v>
      </c>
      <c r="G268" s="11" t="s">
        <v>565</v>
      </c>
      <c r="H268" s="6">
        <v>5</v>
      </c>
    </row>
    <row r="269" spans="1:8" ht="20.05" customHeight="1" x14ac:dyDescent="0.3">
      <c r="A269" s="4" t="s">
        <v>551</v>
      </c>
      <c r="B269" s="4" t="s">
        <v>566</v>
      </c>
      <c r="C269" s="4" t="s">
        <v>238</v>
      </c>
      <c r="D269" s="4" t="s">
        <v>567</v>
      </c>
      <c r="E269" s="4">
        <v>20000</v>
      </c>
      <c r="F269" s="4">
        <v>0</v>
      </c>
      <c r="G269" s="11" t="s">
        <v>568</v>
      </c>
      <c r="H269" s="6">
        <v>1</v>
      </c>
    </row>
    <row r="270" spans="1:8" ht="20.05" customHeight="1" x14ac:dyDescent="0.3">
      <c r="A270" s="4" t="s">
        <v>551</v>
      </c>
      <c r="B270" s="4" t="s">
        <v>569</v>
      </c>
      <c r="C270" s="4" t="s">
        <v>557</v>
      </c>
      <c r="D270" s="4" t="s">
        <v>570</v>
      </c>
      <c r="E270" s="4">
        <v>50000</v>
      </c>
      <c r="F270" s="4">
        <v>50000</v>
      </c>
      <c r="G270" s="11" t="s">
        <v>571</v>
      </c>
      <c r="H270" s="6">
        <v>2</v>
      </c>
    </row>
    <row r="271" spans="1:8" ht="20.05" customHeight="1" x14ac:dyDescent="0.3">
      <c r="A271" s="4" t="s">
        <v>551</v>
      </c>
      <c r="B271" s="4" t="s">
        <v>566</v>
      </c>
      <c r="C271" s="4" t="s">
        <v>238</v>
      </c>
      <c r="D271" s="4" t="s">
        <v>567</v>
      </c>
      <c r="E271" s="4">
        <v>10000</v>
      </c>
      <c r="F271" s="4">
        <v>10000</v>
      </c>
      <c r="G271" s="11" t="s">
        <v>572</v>
      </c>
      <c r="H271" s="6">
        <v>1</v>
      </c>
    </row>
    <row r="272" spans="1:8" ht="20.05" customHeight="1" x14ac:dyDescent="0.3">
      <c r="A272" s="4" t="s">
        <v>551</v>
      </c>
      <c r="B272" s="4" t="s">
        <v>573</v>
      </c>
      <c r="C272" s="4" t="s">
        <v>557</v>
      </c>
      <c r="D272" s="4" t="s">
        <v>558</v>
      </c>
      <c r="E272" s="4">
        <v>29000</v>
      </c>
      <c r="F272" s="4">
        <v>29000</v>
      </c>
      <c r="G272" s="11" t="s">
        <v>574</v>
      </c>
      <c r="H272" s="6">
        <v>5</v>
      </c>
    </row>
    <row r="273" spans="1:8" ht="20.05" customHeight="1" x14ac:dyDescent="0.3">
      <c r="A273" s="4" t="s">
        <v>551</v>
      </c>
      <c r="B273" s="4" t="s">
        <v>552</v>
      </c>
      <c r="C273" s="4" t="s">
        <v>19</v>
      </c>
      <c r="D273" s="4" t="s">
        <v>222</v>
      </c>
      <c r="E273" s="4">
        <v>10000</v>
      </c>
      <c r="F273" s="4">
        <v>9800</v>
      </c>
      <c r="G273" s="11" t="s">
        <v>575</v>
      </c>
      <c r="H273" s="6">
        <v>2</v>
      </c>
    </row>
    <row r="274" spans="1:8" ht="20.05" customHeight="1" x14ac:dyDescent="0.3">
      <c r="A274" s="12" t="s">
        <v>551</v>
      </c>
      <c r="B274" s="12" t="s">
        <v>566</v>
      </c>
      <c r="C274" s="12" t="s">
        <v>238</v>
      </c>
      <c r="D274" s="12" t="s">
        <v>394</v>
      </c>
      <c r="E274" s="12">
        <v>10000</v>
      </c>
      <c r="F274" s="4">
        <v>1380</v>
      </c>
      <c r="G274" s="11" t="s">
        <v>439</v>
      </c>
      <c r="H274" s="6">
        <v>1</v>
      </c>
    </row>
    <row r="275" spans="1:8" ht="20.05" customHeight="1" x14ac:dyDescent="0.3">
      <c r="A275" s="12"/>
      <c r="B275" s="12"/>
      <c r="C275" s="12"/>
      <c r="D275" s="12"/>
      <c r="E275" s="12"/>
      <c r="F275" s="4">
        <v>690</v>
      </c>
      <c r="G275" s="11" t="s">
        <v>576</v>
      </c>
      <c r="H275" s="6">
        <v>1</v>
      </c>
    </row>
    <row r="276" spans="1:8" ht="20.05" customHeight="1" x14ac:dyDescent="0.3">
      <c r="A276" s="12"/>
      <c r="B276" s="12"/>
      <c r="C276" s="12"/>
      <c r="D276" s="12"/>
      <c r="E276" s="12"/>
      <c r="F276" s="4">
        <v>430</v>
      </c>
      <c r="G276" s="11" t="s">
        <v>576</v>
      </c>
      <c r="H276" s="6">
        <v>1</v>
      </c>
    </row>
    <row r="277" spans="1:8" ht="20.05" customHeight="1" x14ac:dyDescent="0.3">
      <c r="A277" s="12"/>
      <c r="B277" s="12"/>
      <c r="C277" s="12"/>
      <c r="D277" s="12"/>
      <c r="E277" s="12"/>
      <c r="F277" s="4">
        <v>460</v>
      </c>
      <c r="G277" s="11" t="s">
        <v>576</v>
      </c>
      <c r="H277" s="6">
        <v>1</v>
      </c>
    </row>
    <row r="278" spans="1:8" ht="20.05" customHeight="1" x14ac:dyDescent="0.3">
      <c r="A278" s="12"/>
      <c r="B278" s="12"/>
      <c r="C278" s="12"/>
      <c r="D278" s="12"/>
      <c r="E278" s="12"/>
      <c r="F278" s="4">
        <v>400</v>
      </c>
      <c r="G278" s="11" t="s">
        <v>576</v>
      </c>
      <c r="H278" s="6">
        <v>1</v>
      </c>
    </row>
    <row r="279" spans="1:8" ht="20.05" customHeight="1" x14ac:dyDescent="0.3">
      <c r="A279" s="12"/>
      <c r="B279" s="12"/>
      <c r="C279" s="12"/>
      <c r="D279" s="12"/>
      <c r="E279" s="12"/>
      <c r="F279" s="4">
        <v>400</v>
      </c>
      <c r="G279" s="11" t="s">
        <v>577</v>
      </c>
      <c r="H279" s="6">
        <v>1</v>
      </c>
    </row>
    <row r="280" spans="1:8" ht="20.05" customHeight="1" x14ac:dyDescent="0.3">
      <c r="A280" s="12"/>
      <c r="B280" s="12"/>
      <c r="C280" s="12"/>
      <c r="D280" s="12"/>
      <c r="E280" s="12"/>
      <c r="F280" s="4">
        <v>560</v>
      </c>
      <c r="G280" s="11" t="s">
        <v>577</v>
      </c>
      <c r="H280" s="6">
        <v>1</v>
      </c>
    </row>
    <row r="281" spans="1:8" ht="20.05" customHeight="1" x14ac:dyDescent="0.3">
      <c r="A281" s="12"/>
      <c r="B281" s="12"/>
      <c r="C281" s="12"/>
      <c r="D281" s="12"/>
      <c r="E281" s="12"/>
      <c r="F281" s="4">
        <v>310</v>
      </c>
      <c r="G281" s="11" t="s">
        <v>577</v>
      </c>
      <c r="H281" s="6">
        <v>1</v>
      </c>
    </row>
    <row r="282" spans="1:8" ht="20.05" customHeight="1" x14ac:dyDescent="0.3">
      <c r="A282" s="12"/>
      <c r="B282" s="12"/>
      <c r="C282" s="12"/>
      <c r="D282" s="12"/>
      <c r="E282" s="12"/>
      <c r="F282" s="4">
        <v>180</v>
      </c>
      <c r="G282" s="11" t="s">
        <v>577</v>
      </c>
      <c r="H282" s="6">
        <v>1</v>
      </c>
    </row>
    <row r="283" spans="1:8" ht="20.05" customHeight="1" x14ac:dyDescent="0.3">
      <c r="A283" s="12"/>
      <c r="B283" s="12"/>
      <c r="C283" s="12"/>
      <c r="D283" s="12"/>
      <c r="E283" s="12"/>
      <c r="F283" s="4">
        <v>300</v>
      </c>
      <c r="G283" s="11" t="s">
        <v>578</v>
      </c>
      <c r="H283" s="6">
        <v>1</v>
      </c>
    </row>
    <row r="284" spans="1:8" ht="20.05" customHeight="1" x14ac:dyDescent="0.3">
      <c r="A284" s="4" t="s">
        <v>551</v>
      </c>
      <c r="B284" s="4" t="s">
        <v>552</v>
      </c>
      <c r="C284" s="4" t="s">
        <v>19</v>
      </c>
      <c r="D284" s="4" t="s">
        <v>579</v>
      </c>
      <c r="E284" s="4">
        <v>20000</v>
      </c>
      <c r="F284" s="4">
        <v>20000</v>
      </c>
      <c r="G284" s="11" t="s">
        <v>580</v>
      </c>
      <c r="H284" s="6">
        <v>1</v>
      </c>
    </row>
    <row r="285" spans="1:8" ht="20.05" customHeight="1" x14ac:dyDescent="0.3">
      <c r="A285" s="4" t="s">
        <v>551</v>
      </c>
      <c r="B285" s="4" t="s">
        <v>552</v>
      </c>
      <c r="C285" s="4" t="s">
        <v>19</v>
      </c>
      <c r="D285" s="4" t="s">
        <v>144</v>
      </c>
      <c r="E285" s="4">
        <v>12000</v>
      </c>
      <c r="F285" s="4">
        <v>12000</v>
      </c>
      <c r="G285" s="11" t="s">
        <v>581</v>
      </c>
      <c r="H285" s="6">
        <v>2</v>
      </c>
    </row>
    <row r="286" spans="1:8" ht="20.05" customHeight="1" x14ac:dyDescent="0.3">
      <c r="A286" s="4" t="s">
        <v>551</v>
      </c>
      <c r="B286" s="4" t="s">
        <v>552</v>
      </c>
      <c r="C286" s="4" t="s">
        <v>19</v>
      </c>
      <c r="D286" s="4" t="s">
        <v>436</v>
      </c>
      <c r="E286" s="4">
        <v>10000</v>
      </c>
      <c r="F286" s="4">
        <v>10000</v>
      </c>
      <c r="G286" s="11" t="s">
        <v>577</v>
      </c>
      <c r="H286" s="6">
        <v>1</v>
      </c>
    </row>
    <row r="287" spans="1:8" ht="20.05" customHeight="1" x14ac:dyDescent="0.3">
      <c r="A287" s="4" t="s">
        <v>551</v>
      </c>
      <c r="B287" s="4" t="s">
        <v>582</v>
      </c>
      <c r="C287" s="4" t="s">
        <v>557</v>
      </c>
      <c r="D287" s="4" t="s">
        <v>583</v>
      </c>
      <c r="E287" s="4">
        <v>50000</v>
      </c>
      <c r="F287" s="4">
        <v>50000</v>
      </c>
      <c r="G287" s="11" t="s">
        <v>446</v>
      </c>
      <c r="H287" s="6">
        <v>3</v>
      </c>
    </row>
    <row r="288" spans="1:8" ht="20.05" customHeight="1" x14ac:dyDescent="0.3">
      <c r="A288" s="4" t="s">
        <v>551</v>
      </c>
      <c r="B288" s="4" t="s">
        <v>552</v>
      </c>
      <c r="C288" s="4" t="s">
        <v>19</v>
      </c>
      <c r="D288" s="4" t="s">
        <v>436</v>
      </c>
      <c r="E288" s="4">
        <v>20000</v>
      </c>
      <c r="F288" s="4">
        <v>20000</v>
      </c>
      <c r="G288" s="11" t="s">
        <v>578</v>
      </c>
      <c r="H288" s="6">
        <v>1</v>
      </c>
    </row>
    <row r="289" spans="1:8" ht="20.05" customHeight="1" x14ac:dyDescent="0.3">
      <c r="A289" s="4" t="s">
        <v>551</v>
      </c>
      <c r="B289" s="4" t="s">
        <v>552</v>
      </c>
      <c r="C289" s="4" t="s">
        <v>19</v>
      </c>
      <c r="D289" s="4" t="s">
        <v>584</v>
      </c>
      <c r="E289" s="4">
        <v>18000</v>
      </c>
      <c r="F289" s="4">
        <v>18000</v>
      </c>
      <c r="G289" s="11" t="s">
        <v>585</v>
      </c>
      <c r="H289" s="6">
        <v>2</v>
      </c>
    </row>
    <row r="290" spans="1:8" ht="20.05" customHeight="1" x14ac:dyDescent="0.3">
      <c r="A290" s="4" t="s">
        <v>551</v>
      </c>
      <c r="B290" s="4" t="s">
        <v>586</v>
      </c>
      <c r="C290" s="4" t="s">
        <v>557</v>
      </c>
      <c r="D290" s="4" t="s">
        <v>558</v>
      </c>
      <c r="E290" s="4">
        <v>47000</v>
      </c>
      <c r="F290" s="4">
        <v>47000</v>
      </c>
      <c r="G290" s="11" t="s">
        <v>587</v>
      </c>
      <c r="H290" s="6">
        <v>5</v>
      </c>
    </row>
    <row r="291" spans="1:8" ht="20.05" customHeight="1" x14ac:dyDescent="0.3">
      <c r="A291" s="4" t="s">
        <v>551</v>
      </c>
      <c r="B291" s="4" t="s">
        <v>566</v>
      </c>
      <c r="C291" s="4" t="s">
        <v>238</v>
      </c>
      <c r="D291" s="4" t="s">
        <v>588</v>
      </c>
      <c r="E291" s="4">
        <v>15000</v>
      </c>
      <c r="F291" s="4">
        <v>15000</v>
      </c>
      <c r="G291" s="11" t="s">
        <v>589</v>
      </c>
      <c r="H291" s="6">
        <v>3</v>
      </c>
    </row>
    <row r="292" spans="1:8" ht="20.05" customHeight="1" x14ac:dyDescent="0.3">
      <c r="A292" s="4" t="s">
        <v>551</v>
      </c>
      <c r="B292" s="4" t="s">
        <v>566</v>
      </c>
      <c r="C292" s="4" t="s">
        <v>238</v>
      </c>
      <c r="D292" s="4" t="s">
        <v>590</v>
      </c>
      <c r="E292" s="4">
        <v>20000</v>
      </c>
      <c r="F292" s="4">
        <v>20000</v>
      </c>
      <c r="G292" s="11" t="s">
        <v>104</v>
      </c>
      <c r="H292" s="6">
        <v>1</v>
      </c>
    </row>
    <row r="293" spans="1:8" ht="20.05" customHeight="1" x14ac:dyDescent="0.3">
      <c r="A293" s="4" t="s">
        <v>551</v>
      </c>
      <c r="B293" s="4" t="s">
        <v>566</v>
      </c>
      <c r="C293" s="4" t="s">
        <v>238</v>
      </c>
      <c r="D293" s="4" t="s">
        <v>394</v>
      </c>
      <c r="E293" s="4">
        <v>30000</v>
      </c>
      <c r="F293" s="4">
        <v>20000</v>
      </c>
      <c r="G293" s="11" t="s">
        <v>591</v>
      </c>
      <c r="H293" s="6">
        <v>1</v>
      </c>
    </row>
    <row r="294" spans="1:8" s="3" customFormat="1" ht="20.05" customHeight="1" x14ac:dyDescent="0.3">
      <c r="A294" s="12" t="s">
        <v>551</v>
      </c>
      <c r="B294" s="12" t="s">
        <v>552</v>
      </c>
      <c r="C294" s="12" t="s">
        <v>19</v>
      </c>
      <c r="D294" s="12" t="s">
        <v>592</v>
      </c>
      <c r="E294" s="12">
        <v>50000</v>
      </c>
      <c r="F294" s="4">
        <v>0</v>
      </c>
      <c r="G294" s="11" t="s">
        <v>593</v>
      </c>
      <c r="H294" s="6">
        <v>3</v>
      </c>
    </row>
    <row r="295" spans="1:8" s="3" customFormat="1" ht="20.05" customHeight="1" x14ac:dyDescent="0.3">
      <c r="A295" s="12"/>
      <c r="B295" s="12"/>
      <c r="C295" s="12"/>
      <c r="D295" s="12"/>
      <c r="E295" s="12"/>
      <c r="F295" s="4">
        <v>10000</v>
      </c>
      <c r="G295" s="11" t="s">
        <v>593</v>
      </c>
      <c r="H295" s="6">
        <v>3</v>
      </c>
    </row>
    <row r="296" spans="1:8" ht="20.05" customHeight="1" x14ac:dyDescent="0.3">
      <c r="A296" s="4" t="s">
        <v>551</v>
      </c>
      <c r="B296" s="4" t="s">
        <v>552</v>
      </c>
      <c r="C296" s="4" t="s">
        <v>19</v>
      </c>
      <c r="D296" s="4" t="s">
        <v>436</v>
      </c>
      <c r="E296" s="4">
        <v>10000</v>
      </c>
      <c r="F296" s="4">
        <v>10000</v>
      </c>
      <c r="G296" s="11" t="s">
        <v>593</v>
      </c>
      <c r="H296" s="6">
        <v>3</v>
      </c>
    </row>
    <row r="297" spans="1:8" ht="20.05" customHeight="1" x14ac:dyDescent="0.3">
      <c r="A297" s="4" t="s">
        <v>551</v>
      </c>
      <c r="B297" s="4" t="s">
        <v>594</v>
      </c>
      <c r="C297" s="4" t="s">
        <v>557</v>
      </c>
      <c r="D297" s="4" t="s">
        <v>558</v>
      </c>
      <c r="E297" s="4">
        <v>100000</v>
      </c>
      <c r="F297" s="4">
        <v>100000</v>
      </c>
      <c r="G297" s="11" t="s">
        <v>595</v>
      </c>
      <c r="H297" s="6">
        <v>5</v>
      </c>
    </row>
    <row r="298" spans="1:8" s="2" customFormat="1" ht="20.05" customHeight="1" x14ac:dyDescent="0.3">
      <c r="A298" s="4" t="s">
        <v>596</v>
      </c>
      <c r="B298" s="4"/>
      <c r="C298" s="4" t="s">
        <v>19</v>
      </c>
      <c r="D298" s="4" t="s">
        <v>597</v>
      </c>
      <c r="E298" s="4">
        <v>3000</v>
      </c>
      <c r="F298" s="4">
        <v>0</v>
      </c>
      <c r="G298" s="11" t="s">
        <v>598</v>
      </c>
      <c r="H298" s="6">
        <v>1</v>
      </c>
    </row>
    <row r="299" spans="1:8" ht="20.05" customHeight="1" x14ac:dyDescent="0.3">
      <c r="A299" s="4" t="s">
        <v>596</v>
      </c>
      <c r="B299" s="4"/>
      <c r="C299" s="4" t="s">
        <v>19</v>
      </c>
      <c r="D299" s="4" t="s">
        <v>23</v>
      </c>
      <c r="E299" s="4">
        <v>1000</v>
      </c>
      <c r="F299" s="4">
        <v>1000</v>
      </c>
      <c r="G299" s="11" t="s">
        <v>24</v>
      </c>
      <c r="H299" s="6">
        <v>1</v>
      </c>
    </row>
    <row r="300" spans="1:8" ht="20.05" customHeight="1" x14ac:dyDescent="0.3">
      <c r="A300" s="4" t="s">
        <v>596</v>
      </c>
      <c r="B300" s="4"/>
      <c r="C300" s="4" t="s">
        <v>19</v>
      </c>
      <c r="D300" s="4" t="s">
        <v>597</v>
      </c>
      <c r="E300" s="4">
        <v>3000</v>
      </c>
      <c r="F300" s="4">
        <v>2970</v>
      </c>
      <c r="G300" s="11" t="s">
        <v>599</v>
      </c>
      <c r="H300" s="6">
        <v>2</v>
      </c>
    </row>
    <row r="301" spans="1:8" ht="20.05" customHeight="1" x14ac:dyDescent="0.3">
      <c r="A301" s="4" t="s">
        <v>596</v>
      </c>
      <c r="B301" s="4"/>
      <c r="C301" s="4" t="s">
        <v>19</v>
      </c>
      <c r="D301" s="4" t="s">
        <v>600</v>
      </c>
      <c r="E301" s="4">
        <v>1000</v>
      </c>
      <c r="F301" s="4">
        <v>1000</v>
      </c>
      <c r="G301" s="11" t="s">
        <v>601</v>
      </c>
      <c r="H301" s="6">
        <v>1</v>
      </c>
    </row>
    <row r="302" spans="1:8" ht="20.05" customHeight="1" x14ac:dyDescent="0.3">
      <c r="A302" s="4" t="s">
        <v>602</v>
      </c>
      <c r="B302" s="4"/>
      <c r="C302" s="4" t="s">
        <v>603</v>
      </c>
      <c r="D302" s="4" t="s">
        <v>604</v>
      </c>
      <c r="E302" s="12">
        <v>3300</v>
      </c>
      <c r="F302" s="4">
        <v>800</v>
      </c>
      <c r="G302" s="11" t="s">
        <v>605</v>
      </c>
      <c r="H302" s="6">
        <v>15</v>
      </c>
    </row>
    <row r="303" spans="1:8" ht="20.05" customHeight="1" x14ac:dyDescent="0.3">
      <c r="A303" s="4" t="s">
        <v>602</v>
      </c>
      <c r="B303" s="4"/>
      <c r="C303" s="4" t="s">
        <v>603</v>
      </c>
      <c r="D303" s="4" t="s">
        <v>604</v>
      </c>
      <c r="E303" s="12"/>
      <c r="F303" s="4">
        <v>2300</v>
      </c>
      <c r="G303" s="11" t="s">
        <v>606</v>
      </c>
      <c r="H303" s="6">
        <v>15</v>
      </c>
    </row>
    <row r="304" spans="1:8" s="2" customFormat="1" ht="20.05" customHeight="1" x14ac:dyDescent="0.3">
      <c r="A304" s="4" t="s">
        <v>602</v>
      </c>
      <c r="B304" s="4"/>
      <c r="C304" s="4" t="s">
        <v>424</v>
      </c>
      <c r="D304" s="4" t="s">
        <v>436</v>
      </c>
      <c r="E304" s="4">
        <v>1000</v>
      </c>
      <c r="F304" s="4">
        <v>0</v>
      </c>
      <c r="G304" s="11" t="s">
        <v>607</v>
      </c>
      <c r="H304" s="6">
        <v>1</v>
      </c>
    </row>
    <row r="305" spans="1:8" ht="20.05" customHeight="1" x14ac:dyDescent="0.3">
      <c r="A305" s="4" t="s">
        <v>602</v>
      </c>
      <c r="B305" s="4"/>
      <c r="C305" s="4" t="s">
        <v>424</v>
      </c>
      <c r="D305" s="4" t="s">
        <v>436</v>
      </c>
      <c r="E305" s="4">
        <v>1000</v>
      </c>
      <c r="F305" s="4">
        <v>1000</v>
      </c>
      <c r="G305" s="11" t="s">
        <v>577</v>
      </c>
      <c r="H305" s="6">
        <v>1</v>
      </c>
    </row>
    <row r="306" spans="1:8" ht="20.05" customHeight="1" x14ac:dyDescent="0.3">
      <c r="A306" s="4" t="s">
        <v>602</v>
      </c>
      <c r="B306" s="4"/>
      <c r="C306" s="4" t="s">
        <v>424</v>
      </c>
      <c r="D306" s="4" t="s">
        <v>357</v>
      </c>
      <c r="E306" s="4">
        <v>1000</v>
      </c>
      <c r="F306" s="4">
        <v>1000</v>
      </c>
      <c r="G306" s="11" t="s">
        <v>593</v>
      </c>
      <c r="H306" s="6">
        <v>1</v>
      </c>
    </row>
    <row r="307" spans="1:8" ht="20.05" customHeight="1" x14ac:dyDescent="0.3">
      <c r="A307" s="12" t="s">
        <v>608</v>
      </c>
      <c r="B307" s="4" t="s">
        <v>609</v>
      </c>
      <c r="C307" s="4" t="s">
        <v>557</v>
      </c>
      <c r="D307" s="4" t="s">
        <v>610</v>
      </c>
      <c r="E307" s="4">
        <v>87000</v>
      </c>
      <c r="F307" s="4">
        <v>26100</v>
      </c>
      <c r="G307" s="4" t="s">
        <v>611</v>
      </c>
      <c r="H307" s="4">
        <v>10</v>
      </c>
    </row>
    <row r="308" spans="1:8" ht="20.05" customHeight="1" x14ac:dyDescent="0.3">
      <c r="A308" s="12"/>
      <c r="B308" s="4" t="s">
        <v>612</v>
      </c>
      <c r="C308" s="4" t="s">
        <v>557</v>
      </c>
      <c r="D308" s="4" t="s">
        <v>558</v>
      </c>
      <c r="E308" s="4">
        <v>50000</v>
      </c>
      <c r="F308" s="4">
        <v>21000</v>
      </c>
      <c r="G308" s="4" t="s">
        <v>733</v>
      </c>
      <c r="H308" s="4" t="s">
        <v>613</v>
      </c>
    </row>
    <row r="309" spans="1:8" s="2" customFormat="1" ht="20.05" customHeight="1" x14ac:dyDescent="0.3">
      <c r="A309" s="12"/>
      <c r="B309" s="4" t="s">
        <v>614</v>
      </c>
      <c r="C309" s="4" t="s">
        <v>557</v>
      </c>
      <c r="D309" s="4" t="s">
        <v>457</v>
      </c>
      <c r="E309" s="4">
        <v>32000</v>
      </c>
      <c r="F309" s="4">
        <v>32000</v>
      </c>
      <c r="G309" s="4" t="s">
        <v>733</v>
      </c>
      <c r="H309" s="4" t="s">
        <v>613</v>
      </c>
    </row>
    <row r="310" spans="1:8" ht="20.05" customHeight="1" x14ac:dyDescent="0.3">
      <c r="A310" s="12"/>
      <c r="B310" s="4" t="s">
        <v>615</v>
      </c>
      <c r="C310" s="4" t="s">
        <v>557</v>
      </c>
      <c r="D310" s="4" t="s">
        <v>558</v>
      </c>
      <c r="E310" s="4">
        <v>100000</v>
      </c>
      <c r="F310" s="4">
        <v>53000</v>
      </c>
      <c r="G310" s="4" t="s">
        <v>732</v>
      </c>
      <c r="H310" s="4" t="s">
        <v>613</v>
      </c>
    </row>
    <row r="311" spans="1:8" ht="20.05" customHeight="1" x14ac:dyDescent="0.3">
      <c r="A311" s="12"/>
      <c r="B311" s="4" t="s">
        <v>616</v>
      </c>
      <c r="C311" s="4" t="s">
        <v>80</v>
      </c>
      <c r="D311" s="4" t="s">
        <v>134</v>
      </c>
      <c r="E311" s="4">
        <v>6150</v>
      </c>
      <c r="F311" s="4">
        <v>3630</v>
      </c>
      <c r="G311" s="4" t="s">
        <v>617</v>
      </c>
      <c r="H311" s="4">
        <v>13</v>
      </c>
    </row>
    <row r="312" spans="1:8" ht="20.05" customHeight="1" x14ac:dyDescent="0.3">
      <c r="A312" s="12"/>
      <c r="B312" s="4" t="s">
        <v>618</v>
      </c>
      <c r="C312" s="4" t="s">
        <v>557</v>
      </c>
      <c r="D312" s="4" t="s">
        <v>558</v>
      </c>
      <c r="E312" s="4">
        <v>100000</v>
      </c>
      <c r="F312" s="4">
        <v>100000</v>
      </c>
      <c r="G312" s="4" t="s">
        <v>619</v>
      </c>
      <c r="H312" s="4" t="s">
        <v>613</v>
      </c>
    </row>
    <row r="313" spans="1:8" ht="20.05" customHeight="1" x14ac:dyDescent="0.3">
      <c r="A313" s="12"/>
      <c r="B313" s="4" t="s">
        <v>620</v>
      </c>
      <c r="C313" s="4" t="s">
        <v>80</v>
      </c>
      <c r="D313" s="4" t="s">
        <v>134</v>
      </c>
      <c r="E313" s="4">
        <v>5200</v>
      </c>
      <c r="F313" s="4">
        <v>3181</v>
      </c>
      <c r="G313" s="4" t="s">
        <v>621</v>
      </c>
      <c r="H313" s="4">
        <v>8</v>
      </c>
    </row>
    <row r="314" spans="1:8" ht="20.05" customHeight="1" x14ac:dyDescent="0.3">
      <c r="A314" s="12"/>
      <c r="B314" s="4" t="s">
        <v>622</v>
      </c>
      <c r="C314" s="4" t="s">
        <v>557</v>
      </c>
      <c r="D314" s="4" t="s">
        <v>558</v>
      </c>
      <c r="E314" s="4">
        <v>100000</v>
      </c>
      <c r="F314" s="4">
        <v>100000</v>
      </c>
      <c r="G314" s="4" t="s">
        <v>623</v>
      </c>
      <c r="H314" s="4" t="s">
        <v>613</v>
      </c>
    </row>
    <row r="315" spans="1:8" s="2" customFormat="1" ht="20.05" customHeight="1" x14ac:dyDescent="0.3">
      <c r="A315" s="12"/>
      <c r="B315" s="4" t="s">
        <v>624</v>
      </c>
      <c r="C315" s="4" t="s">
        <v>624</v>
      </c>
      <c r="D315" s="4" t="s">
        <v>51</v>
      </c>
      <c r="E315" s="4">
        <v>50000</v>
      </c>
      <c r="F315" s="4">
        <v>50000</v>
      </c>
      <c r="G315" s="4" t="s">
        <v>625</v>
      </c>
      <c r="H315" s="4">
        <v>3</v>
      </c>
    </row>
    <row r="316" spans="1:8" ht="20.05" customHeight="1" x14ac:dyDescent="0.3">
      <c r="A316" s="12"/>
      <c r="B316" s="13" t="s">
        <v>626</v>
      </c>
      <c r="C316" s="13" t="s">
        <v>626</v>
      </c>
      <c r="D316" s="4" t="s">
        <v>604</v>
      </c>
      <c r="E316" s="4">
        <v>4000</v>
      </c>
      <c r="F316" s="4">
        <v>3900</v>
      </c>
      <c r="G316" s="4" t="s">
        <v>627</v>
      </c>
      <c r="H316" s="4">
        <v>20</v>
      </c>
    </row>
    <row r="317" spans="1:8" ht="20.05" customHeight="1" x14ac:dyDescent="0.3">
      <c r="A317" s="12"/>
      <c r="B317" s="4"/>
      <c r="C317" s="4" t="s">
        <v>19</v>
      </c>
      <c r="D317" s="4" t="s">
        <v>628</v>
      </c>
      <c r="E317" s="4">
        <v>20000</v>
      </c>
      <c r="F317" s="4">
        <v>18990</v>
      </c>
      <c r="G317" s="4" t="s">
        <v>629</v>
      </c>
      <c r="H317" s="4">
        <v>3</v>
      </c>
    </row>
    <row r="318" spans="1:8" ht="20.05" customHeight="1" x14ac:dyDescent="0.3">
      <c r="A318" s="12"/>
      <c r="B318" s="4"/>
      <c r="C318" s="4" t="s">
        <v>19</v>
      </c>
      <c r="D318" s="4" t="s">
        <v>438</v>
      </c>
      <c r="E318" s="4">
        <v>15000</v>
      </c>
      <c r="F318" s="4">
        <v>12150</v>
      </c>
      <c r="G318" s="4" t="s">
        <v>630</v>
      </c>
      <c r="H318" s="4">
        <v>3</v>
      </c>
    </row>
    <row r="319" spans="1:8" ht="20.05" customHeight="1" x14ac:dyDescent="0.3">
      <c r="A319" s="12"/>
      <c r="B319" s="12"/>
      <c r="C319" s="12" t="s">
        <v>19</v>
      </c>
      <c r="D319" s="12" t="s">
        <v>144</v>
      </c>
      <c r="E319" s="4">
        <v>5000</v>
      </c>
      <c r="F319" s="4">
        <v>5000</v>
      </c>
      <c r="G319" s="4" t="s">
        <v>631</v>
      </c>
      <c r="H319" s="4">
        <v>1</v>
      </c>
    </row>
    <row r="320" spans="1:8" ht="20.05" customHeight="1" x14ac:dyDescent="0.3">
      <c r="A320" s="12"/>
      <c r="B320" s="12"/>
      <c r="C320" s="12"/>
      <c r="D320" s="12"/>
      <c r="E320" s="4">
        <v>25000</v>
      </c>
      <c r="F320" s="4">
        <v>25000</v>
      </c>
      <c r="G320" s="4" t="s">
        <v>632</v>
      </c>
      <c r="H320" s="4">
        <v>1</v>
      </c>
    </row>
    <row r="321" spans="1:8" ht="20.05" customHeight="1" x14ac:dyDescent="0.3">
      <c r="A321" s="12"/>
      <c r="B321" s="4"/>
      <c r="C321" s="4" t="s">
        <v>19</v>
      </c>
      <c r="D321" s="4" t="s">
        <v>436</v>
      </c>
      <c r="E321" s="4">
        <v>20000</v>
      </c>
      <c r="F321" s="4">
        <v>19000</v>
      </c>
      <c r="G321" s="4" t="s">
        <v>633</v>
      </c>
      <c r="H321" s="4">
        <v>3</v>
      </c>
    </row>
    <row r="322" spans="1:8" ht="20.05" customHeight="1" x14ac:dyDescent="0.3">
      <c r="A322" s="12"/>
      <c r="B322" s="4"/>
      <c r="C322" s="4" t="s">
        <v>238</v>
      </c>
      <c r="D322" s="4" t="s">
        <v>634</v>
      </c>
      <c r="E322" s="4">
        <v>20000</v>
      </c>
      <c r="F322" s="4">
        <v>20000</v>
      </c>
      <c r="G322" s="4" t="s">
        <v>635</v>
      </c>
      <c r="H322" s="4">
        <v>1</v>
      </c>
    </row>
    <row r="323" spans="1:8" ht="20.05" customHeight="1" x14ac:dyDescent="0.3">
      <c r="A323" s="12"/>
      <c r="B323" s="4"/>
      <c r="C323" s="4" t="s">
        <v>19</v>
      </c>
      <c r="D323" s="4" t="s">
        <v>636</v>
      </c>
      <c r="E323" s="4">
        <v>12000</v>
      </c>
      <c r="F323" s="4">
        <v>12000</v>
      </c>
      <c r="G323" s="4" t="s">
        <v>637</v>
      </c>
      <c r="H323" s="4">
        <v>1</v>
      </c>
    </row>
    <row r="324" spans="1:8" ht="20.05" customHeight="1" x14ac:dyDescent="0.3">
      <c r="A324" s="12"/>
      <c r="B324" s="4"/>
      <c r="C324" s="4" t="s">
        <v>19</v>
      </c>
      <c r="D324" s="4" t="s">
        <v>516</v>
      </c>
      <c r="E324" s="4">
        <v>20000</v>
      </c>
      <c r="F324" s="4">
        <v>20000</v>
      </c>
      <c r="G324" s="4" t="s">
        <v>638</v>
      </c>
      <c r="H324" s="4">
        <v>1</v>
      </c>
    </row>
    <row r="325" spans="1:8" ht="20.05" customHeight="1" x14ac:dyDescent="0.3">
      <c r="A325" s="12"/>
      <c r="B325" s="4"/>
      <c r="C325" s="4" t="s">
        <v>19</v>
      </c>
      <c r="D325" s="4" t="s">
        <v>457</v>
      </c>
      <c r="E325" s="4">
        <v>20000</v>
      </c>
      <c r="F325" s="4">
        <v>20000</v>
      </c>
      <c r="G325" s="4" t="s">
        <v>639</v>
      </c>
      <c r="H325" s="4">
        <v>1</v>
      </c>
    </row>
    <row r="326" spans="1:8" ht="20.05" customHeight="1" x14ac:dyDescent="0.3">
      <c r="A326" s="14" t="s">
        <v>640</v>
      </c>
      <c r="B326" s="14" t="s">
        <v>641</v>
      </c>
      <c r="C326" s="14" t="s">
        <v>80</v>
      </c>
      <c r="D326" s="14" t="s">
        <v>642</v>
      </c>
      <c r="E326" s="15">
        <v>12000</v>
      </c>
      <c r="F326" s="16">
        <v>1900</v>
      </c>
      <c r="G326" s="14" t="s">
        <v>643</v>
      </c>
      <c r="H326" s="14" t="s">
        <v>16</v>
      </c>
    </row>
    <row r="327" spans="1:8" ht="20.05" customHeight="1" x14ac:dyDescent="0.3">
      <c r="A327" s="14" t="s">
        <v>640</v>
      </c>
      <c r="B327" s="14" t="s">
        <v>641</v>
      </c>
      <c r="C327" s="14" t="s">
        <v>80</v>
      </c>
      <c r="D327" s="14" t="s">
        <v>642</v>
      </c>
      <c r="E327" s="15"/>
      <c r="F327" s="16">
        <v>470</v>
      </c>
      <c r="G327" s="14" t="s">
        <v>644</v>
      </c>
      <c r="H327" s="14" t="s">
        <v>16</v>
      </c>
    </row>
    <row r="328" spans="1:8" ht="20.05" customHeight="1" x14ac:dyDescent="0.3">
      <c r="A328" s="14" t="s">
        <v>640</v>
      </c>
      <c r="B328" s="14" t="s">
        <v>641</v>
      </c>
      <c r="C328" s="14" t="s">
        <v>80</v>
      </c>
      <c r="D328" s="14" t="s">
        <v>642</v>
      </c>
      <c r="E328" s="15"/>
      <c r="F328" s="16">
        <v>450</v>
      </c>
      <c r="G328" s="14" t="s">
        <v>645</v>
      </c>
      <c r="H328" s="14" t="s">
        <v>16</v>
      </c>
    </row>
    <row r="329" spans="1:8" ht="20.05" customHeight="1" x14ac:dyDescent="0.3">
      <c r="A329" s="14" t="s">
        <v>640</v>
      </c>
      <c r="B329" s="14"/>
      <c r="C329" s="14" t="s">
        <v>19</v>
      </c>
      <c r="D329" s="14" t="s">
        <v>346</v>
      </c>
      <c r="E329" s="16">
        <v>1000</v>
      </c>
      <c r="F329" s="16">
        <v>1000</v>
      </c>
      <c r="G329" s="14" t="s">
        <v>24</v>
      </c>
      <c r="H329" s="16" t="s">
        <v>25</v>
      </c>
    </row>
    <row r="330" spans="1:8" ht="20.05" customHeight="1" x14ac:dyDescent="0.3">
      <c r="A330" s="14" t="s">
        <v>640</v>
      </c>
      <c r="B330" s="14" t="s">
        <v>646</v>
      </c>
      <c r="C330" s="14" t="s">
        <v>80</v>
      </c>
      <c r="D330" s="14" t="s">
        <v>647</v>
      </c>
      <c r="E330" s="15">
        <v>16500</v>
      </c>
      <c r="F330" s="16">
        <v>6500</v>
      </c>
      <c r="G330" s="14" t="s">
        <v>648</v>
      </c>
      <c r="H330" s="16" t="s">
        <v>83</v>
      </c>
    </row>
    <row r="331" spans="1:8" ht="20.05" customHeight="1" x14ac:dyDescent="0.3">
      <c r="A331" s="14" t="s">
        <v>640</v>
      </c>
      <c r="B331" s="14" t="s">
        <v>646</v>
      </c>
      <c r="C331" s="14" t="s">
        <v>80</v>
      </c>
      <c r="D331" s="14" t="s">
        <v>647</v>
      </c>
      <c r="E331" s="15"/>
      <c r="F331" s="14">
        <v>148.44739999999999</v>
      </c>
      <c r="G331" s="14" t="s">
        <v>649</v>
      </c>
      <c r="H331" s="16" t="s">
        <v>83</v>
      </c>
    </row>
    <row r="332" spans="1:8" ht="20.05" customHeight="1" x14ac:dyDescent="0.3">
      <c r="A332" s="14" t="s">
        <v>640</v>
      </c>
      <c r="B332" s="14" t="s">
        <v>646</v>
      </c>
      <c r="C332" s="14" t="s">
        <v>80</v>
      </c>
      <c r="D332" s="14" t="s">
        <v>650</v>
      </c>
      <c r="E332" s="15">
        <v>15000</v>
      </c>
      <c r="F332" s="14">
        <v>300</v>
      </c>
      <c r="G332" s="14" t="s">
        <v>651</v>
      </c>
      <c r="H332" s="16" t="s">
        <v>652</v>
      </c>
    </row>
    <row r="333" spans="1:8" ht="20.05" customHeight="1" x14ac:dyDescent="0.3">
      <c r="A333" s="14" t="s">
        <v>640</v>
      </c>
      <c r="B333" s="14" t="s">
        <v>646</v>
      </c>
      <c r="C333" s="14" t="s">
        <v>80</v>
      </c>
      <c r="D333" s="14" t="s">
        <v>650</v>
      </c>
      <c r="E333" s="15"/>
      <c r="F333" s="16">
        <v>600</v>
      </c>
      <c r="G333" s="14" t="s">
        <v>653</v>
      </c>
      <c r="H333" s="16" t="s">
        <v>652</v>
      </c>
    </row>
    <row r="334" spans="1:8" ht="20.05" customHeight="1" x14ac:dyDescent="0.3">
      <c r="A334" s="12" t="s">
        <v>654</v>
      </c>
      <c r="B334" s="4"/>
      <c r="C334" s="4" t="s">
        <v>19</v>
      </c>
      <c r="D334" s="4" t="s">
        <v>51</v>
      </c>
      <c r="E334" s="4">
        <v>1000</v>
      </c>
      <c r="F334" s="4">
        <v>1000</v>
      </c>
      <c r="G334" s="4" t="s">
        <v>655</v>
      </c>
      <c r="H334" s="4">
        <v>1</v>
      </c>
    </row>
    <row r="335" spans="1:8" ht="20.05" customHeight="1" x14ac:dyDescent="0.3">
      <c r="A335" s="12"/>
      <c r="B335" s="4"/>
      <c r="C335" s="4" t="s">
        <v>19</v>
      </c>
      <c r="D335" s="4" t="s">
        <v>272</v>
      </c>
      <c r="E335" s="4">
        <v>1000</v>
      </c>
      <c r="F335" s="4">
        <v>900</v>
      </c>
      <c r="G335" s="4" t="s">
        <v>656</v>
      </c>
      <c r="H335" s="4">
        <v>3</v>
      </c>
    </row>
    <row r="336" spans="1:8" ht="20.05" customHeight="1" x14ac:dyDescent="0.3">
      <c r="A336" s="12"/>
      <c r="B336" s="8"/>
      <c r="C336" s="4" t="s">
        <v>19</v>
      </c>
      <c r="D336" s="8" t="s">
        <v>357</v>
      </c>
      <c r="E336" s="8">
        <v>1000</v>
      </c>
      <c r="F336" s="8">
        <v>1000</v>
      </c>
      <c r="G336" s="8" t="s">
        <v>396</v>
      </c>
      <c r="H336" s="8"/>
    </row>
    <row r="337" spans="1:8" ht="20.05" customHeight="1" x14ac:dyDescent="0.3">
      <c r="A337" s="4" t="s">
        <v>657</v>
      </c>
      <c r="B337" s="4"/>
      <c r="C337" s="4" t="s">
        <v>13</v>
      </c>
      <c r="D337" s="4" t="s">
        <v>658</v>
      </c>
      <c r="E337" s="4">
        <v>21000</v>
      </c>
      <c r="F337" s="4">
        <v>17735.062121999999</v>
      </c>
      <c r="G337" s="4" t="s">
        <v>659</v>
      </c>
      <c r="H337" s="4">
        <v>3</v>
      </c>
    </row>
    <row r="338" spans="1:8" ht="20.05" customHeight="1" x14ac:dyDescent="0.3">
      <c r="A338" s="4" t="s">
        <v>657</v>
      </c>
      <c r="B338" s="4"/>
      <c r="C338" s="4" t="s">
        <v>13</v>
      </c>
      <c r="D338" s="4" t="s">
        <v>660</v>
      </c>
      <c r="E338" s="4">
        <v>7000</v>
      </c>
      <c r="F338" s="4">
        <v>5911.6873740000001</v>
      </c>
      <c r="G338" s="4" t="s">
        <v>661</v>
      </c>
      <c r="H338" s="4">
        <v>3</v>
      </c>
    </row>
    <row r="339" spans="1:8" ht="20.05" customHeight="1" x14ac:dyDescent="0.3">
      <c r="A339" s="4" t="s">
        <v>657</v>
      </c>
      <c r="B339" s="4"/>
      <c r="C339" s="4" t="s">
        <v>19</v>
      </c>
      <c r="D339" s="4" t="s">
        <v>51</v>
      </c>
      <c r="E339" s="4">
        <v>10000</v>
      </c>
      <c r="F339" s="4">
        <v>10000</v>
      </c>
      <c r="G339" s="4" t="s">
        <v>662</v>
      </c>
      <c r="H339" s="4">
        <v>1</v>
      </c>
    </row>
    <row r="340" spans="1:8" ht="20.05" customHeight="1" x14ac:dyDescent="0.3">
      <c r="A340" s="4" t="s">
        <v>663</v>
      </c>
      <c r="B340" s="4" t="s">
        <v>664</v>
      </c>
      <c r="C340" s="4" t="s">
        <v>80</v>
      </c>
      <c r="D340" s="4" t="s">
        <v>665</v>
      </c>
      <c r="E340" s="4">
        <v>70000</v>
      </c>
      <c r="F340" s="4">
        <v>0</v>
      </c>
      <c r="G340" s="4" t="s">
        <v>666</v>
      </c>
      <c r="H340" s="4">
        <v>25</v>
      </c>
    </row>
    <row r="341" spans="1:8" ht="20.05" customHeight="1" x14ac:dyDescent="0.3">
      <c r="A341" s="4" t="s">
        <v>663</v>
      </c>
      <c r="B341" s="4"/>
      <c r="C341" s="4" t="s">
        <v>13</v>
      </c>
      <c r="D341" s="4" t="s">
        <v>667</v>
      </c>
      <c r="E341" s="4">
        <v>20000</v>
      </c>
      <c r="F341" s="4">
        <v>2000</v>
      </c>
      <c r="G341" s="4" t="s">
        <v>668</v>
      </c>
      <c r="H341" s="4">
        <v>5</v>
      </c>
    </row>
    <row r="342" spans="1:8" ht="20.05" customHeight="1" x14ac:dyDescent="0.3">
      <c r="A342" s="4" t="s">
        <v>663</v>
      </c>
      <c r="B342" s="4"/>
      <c r="C342" s="4" t="s">
        <v>13</v>
      </c>
      <c r="D342" s="4" t="s">
        <v>179</v>
      </c>
      <c r="E342" s="4">
        <v>20000</v>
      </c>
      <c r="F342" s="4">
        <v>2259.0307550000002</v>
      </c>
      <c r="G342" s="4" t="s">
        <v>669</v>
      </c>
      <c r="H342" s="4">
        <v>5</v>
      </c>
    </row>
    <row r="343" spans="1:8" s="2" customFormat="1" ht="20.05" customHeight="1" x14ac:dyDescent="0.3">
      <c r="A343" s="4" t="s">
        <v>663</v>
      </c>
      <c r="B343" s="4"/>
      <c r="C343" s="4" t="s">
        <v>19</v>
      </c>
      <c r="D343" s="4" t="s">
        <v>110</v>
      </c>
      <c r="E343" s="4">
        <v>10000</v>
      </c>
      <c r="F343" s="4">
        <v>0</v>
      </c>
      <c r="G343" s="4" t="s">
        <v>670</v>
      </c>
      <c r="H343" s="4">
        <v>1</v>
      </c>
    </row>
    <row r="344" spans="1:8" ht="20.05" customHeight="1" x14ac:dyDescent="0.3">
      <c r="A344" s="4" t="s">
        <v>663</v>
      </c>
      <c r="B344" s="4" t="s">
        <v>671</v>
      </c>
      <c r="C344" s="4" t="s">
        <v>80</v>
      </c>
      <c r="D344" s="4" t="s">
        <v>95</v>
      </c>
      <c r="E344" s="4">
        <v>47000</v>
      </c>
      <c r="F344" s="4">
        <v>43500</v>
      </c>
      <c r="G344" s="4" t="s">
        <v>672</v>
      </c>
      <c r="H344" s="4">
        <v>10</v>
      </c>
    </row>
    <row r="345" spans="1:8" s="2" customFormat="1" ht="20.05" customHeight="1" x14ac:dyDescent="0.3">
      <c r="A345" s="4" t="s">
        <v>673</v>
      </c>
      <c r="B345" s="4"/>
      <c r="C345" s="4" t="s">
        <v>80</v>
      </c>
      <c r="D345" s="4" t="s">
        <v>539</v>
      </c>
      <c r="E345" s="4">
        <v>28000</v>
      </c>
      <c r="F345" s="4">
        <v>0</v>
      </c>
      <c r="G345" s="4" t="s">
        <v>674</v>
      </c>
      <c r="H345" s="4">
        <v>7</v>
      </c>
    </row>
    <row r="346" spans="1:8" s="2" customFormat="1" ht="20.05" customHeight="1" x14ac:dyDescent="0.3">
      <c r="A346" s="4" t="s">
        <v>673</v>
      </c>
      <c r="B346" s="4"/>
      <c r="C346" s="4" t="s">
        <v>19</v>
      </c>
      <c r="D346" s="4" t="s">
        <v>675</v>
      </c>
      <c r="E346" s="4">
        <v>2100</v>
      </c>
      <c r="F346" s="4">
        <v>0</v>
      </c>
      <c r="G346" s="4" t="s">
        <v>676</v>
      </c>
      <c r="H346" s="4">
        <v>2</v>
      </c>
    </row>
    <row r="347" spans="1:8" ht="20.05" customHeight="1" x14ac:dyDescent="0.3">
      <c r="A347" s="4" t="s">
        <v>673</v>
      </c>
      <c r="B347" s="4"/>
      <c r="C347" s="4" t="s">
        <v>13</v>
      </c>
      <c r="D347" s="4" t="s">
        <v>112</v>
      </c>
      <c r="E347" s="4">
        <v>20000</v>
      </c>
      <c r="F347" s="4">
        <v>0</v>
      </c>
      <c r="G347" s="4" t="s">
        <v>677</v>
      </c>
      <c r="H347" s="4">
        <v>4</v>
      </c>
    </row>
    <row r="348" spans="1:8" ht="20.05" customHeight="1" x14ac:dyDescent="0.3">
      <c r="A348" s="4" t="s">
        <v>673</v>
      </c>
      <c r="B348" s="4" t="s">
        <v>678</v>
      </c>
      <c r="C348" s="4" t="s">
        <v>80</v>
      </c>
      <c r="D348" s="4" t="s">
        <v>110</v>
      </c>
      <c r="E348" s="4">
        <v>59000</v>
      </c>
      <c r="F348" s="4">
        <v>49000</v>
      </c>
      <c r="G348" s="4" t="s">
        <v>679</v>
      </c>
      <c r="H348" s="4">
        <v>20</v>
      </c>
    </row>
    <row r="349" spans="1:8" s="2" customFormat="1" ht="20.05" customHeight="1" x14ac:dyDescent="0.3">
      <c r="A349" s="4" t="s">
        <v>673</v>
      </c>
      <c r="B349" s="4"/>
      <c r="C349" s="4" t="s">
        <v>19</v>
      </c>
      <c r="D349" s="4" t="s">
        <v>680</v>
      </c>
      <c r="E349" s="4">
        <v>1000</v>
      </c>
      <c r="F349" s="4">
        <v>0</v>
      </c>
      <c r="G349" s="4" t="s">
        <v>681</v>
      </c>
      <c r="H349" s="4">
        <v>2</v>
      </c>
    </row>
    <row r="350" spans="1:8" ht="20.05" customHeight="1" x14ac:dyDescent="0.3">
      <c r="A350" s="4" t="s">
        <v>673</v>
      </c>
      <c r="B350" s="4"/>
      <c r="C350" s="4" t="s">
        <v>13</v>
      </c>
      <c r="D350" s="4" t="s">
        <v>112</v>
      </c>
      <c r="E350" s="4">
        <v>8000</v>
      </c>
      <c r="F350" s="4">
        <v>6400</v>
      </c>
      <c r="G350" s="4" t="s">
        <v>682</v>
      </c>
      <c r="H350" s="4">
        <v>4</v>
      </c>
    </row>
    <row r="351" spans="1:8" ht="20.05" customHeight="1" x14ac:dyDescent="0.3">
      <c r="A351" s="4" t="s">
        <v>673</v>
      </c>
      <c r="B351" s="4"/>
      <c r="C351" s="4" t="s">
        <v>13</v>
      </c>
      <c r="D351" s="4" t="s">
        <v>683</v>
      </c>
      <c r="E351" s="4">
        <v>10000</v>
      </c>
      <c r="F351" s="4">
        <v>7651.4819989999996</v>
      </c>
      <c r="G351" s="4" t="s">
        <v>684</v>
      </c>
      <c r="H351" s="4">
        <v>3</v>
      </c>
    </row>
    <row r="352" spans="1:8" ht="20.05" customHeight="1" x14ac:dyDescent="0.3">
      <c r="A352" s="4" t="s">
        <v>673</v>
      </c>
      <c r="B352" s="4"/>
      <c r="C352" s="4" t="s">
        <v>19</v>
      </c>
      <c r="D352" s="4" t="s">
        <v>346</v>
      </c>
      <c r="E352" s="4">
        <v>1000</v>
      </c>
      <c r="F352" s="4">
        <v>1000</v>
      </c>
      <c r="G352" s="4" t="s">
        <v>685</v>
      </c>
      <c r="H352" s="4">
        <v>1</v>
      </c>
    </row>
    <row r="353" spans="1:8" ht="20.05" customHeight="1" x14ac:dyDescent="0.3">
      <c r="A353" s="4" t="s">
        <v>673</v>
      </c>
      <c r="B353" s="4"/>
      <c r="C353" s="4" t="s">
        <v>19</v>
      </c>
      <c r="D353" s="4" t="s">
        <v>51</v>
      </c>
      <c r="E353" s="4">
        <v>1000</v>
      </c>
      <c r="F353" s="4">
        <v>1000</v>
      </c>
      <c r="G353" s="4" t="s">
        <v>686</v>
      </c>
      <c r="H353" s="4">
        <v>1</v>
      </c>
    </row>
    <row r="354" spans="1:8" ht="20.05" customHeight="1" x14ac:dyDescent="0.3">
      <c r="A354" s="4" t="s">
        <v>673</v>
      </c>
      <c r="B354" s="4"/>
      <c r="C354" s="4" t="s">
        <v>19</v>
      </c>
      <c r="D354" s="4" t="s">
        <v>675</v>
      </c>
      <c r="E354" s="4">
        <v>3000</v>
      </c>
      <c r="F354" s="4">
        <v>3000</v>
      </c>
      <c r="G354" s="4" t="s">
        <v>687</v>
      </c>
      <c r="H354" s="4">
        <v>3</v>
      </c>
    </row>
    <row r="355" spans="1:8" s="2" customFormat="1" ht="20.05" customHeight="1" x14ac:dyDescent="0.3">
      <c r="A355" s="4" t="s">
        <v>688</v>
      </c>
      <c r="B355" s="4"/>
      <c r="C355" s="4" t="s">
        <v>19</v>
      </c>
      <c r="D355" s="4" t="s">
        <v>51</v>
      </c>
      <c r="E355" s="4">
        <v>3000</v>
      </c>
      <c r="F355" s="4">
        <v>0</v>
      </c>
      <c r="G355" s="4" t="s">
        <v>689</v>
      </c>
      <c r="H355" s="4">
        <v>1</v>
      </c>
    </row>
    <row r="356" spans="1:8" s="2" customFormat="1" ht="20.05" customHeight="1" x14ac:dyDescent="0.3">
      <c r="A356" s="4" t="s">
        <v>688</v>
      </c>
      <c r="B356" s="4"/>
      <c r="C356" s="4" t="s">
        <v>19</v>
      </c>
      <c r="D356" s="4" t="s">
        <v>680</v>
      </c>
      <c r="E356" s="4">
        <v>1000</v>
      </c>
      <c r="F356" s="4">
        <v>0</v>
      </c>
      <c r="G356" s="4" t="s">
        <v>690</v>
      </c>
      <c r="H356" s="4">
        <v>2</v>
      </c>
    </row>
    <row r="357" spans="1:8" ht="20.05" customHeight="1" x14ac:dyDescent="0.3">
      <c r="A357" s="4" t="s">
        <v>688</v>
      </c>
      <c r="B357" s="4"/>
      <c r="C357" s="4" t="s">
        <v>19</v>
      </c>
      <c r="D357" s="4" t="s">
        <v>675</v>
      </c>
      <c r="E357" s="4">
        <v>2950</v>
      </c>
      <c r="F357" s="4">
        <v>2891</v>
      </c>
      <c r="G357" s="4" t="s">
        <v>691</v>
      </c>
      <c r="H357" s="4">
        <v>2</v>
      </c>
    </row>
    <row r="358" spans="1:8" s="2" customFormat="1" ht="20.05" customHeight="1" x14ac:dyDescent="0.3">
      <c r="A358" s="4" t="s">
        <v>688</v>
      </c>
      <c r="B358" s="4"/>
      <c r="C358" s="4" t="s">
        <v>19</v>
      </c>
      <c r="D358" s="4" t="s">
        <v>51</v>
      </c>
      <c r="E358" s="4">
        <v>3000</v>
      </c>
      <c r="F358" s="4">
        <v>0</v>
      </c>
      <c r="G358" s="4" t="s">
        <v>692</v>
      </c>
      <c r="H358" s="4">
        <v>0.5</v>
      </c>
    </row>
    <row r="359" spans="1:8" s="2" customFormat="1" ht="20.05" customHeight="1" x14ac:dyDescent="0.3">
      <c r="A359" s="4" t="s">
        <v>688</v>
      </c>
      <c r="B359" s="4"/>
      <c r="C359" s="4" t="s">
        <v>19</v>
      </c>
      <c r="D359" s="4" t="s">
        <v>693</v>
      </c>
      <c r="E359" s="4">
        <v>3000</v>
      </c>
      <c r="F359" s="4">
        <v>0</v>
      </c>
      <c r="G359" s="4" t="s">
        <v>694</v>
      </c>
      <c r="H359" s="4">
        <v>1</v>
      </c>
    </row>
    <row r="360" spans="1:8" s="2" customFormat="1" ht="20.05" customHeight="1" x14ac:dyDescent="0.3">
      <c r="A360" s="4" t="s">
        <v>688</v>
      </c>
      <c r="B360" s="4"/>
      <c r="C360" s="4" t="s">
        <v>19</v>
      </c>
      <c r="D360" s="4" t="s">
        <v>693</v>
      </c>
      <c r="E360" s="4">
        <v>2950</v>
      </c>
      <c r="F360" s="4">
        <v>0</v>
      </c>
      <c r="G360" s="4" t="s">
        <v>695</v>
      </c>
      <c r="H360" s="4">
        <v>1</v>
      </c>
    </row>
    <row r="361" spans="1:8" s="2" customFormat="1" ht="20.05" customHeight="1" x14ac:dyDescent="0.3">
      <c r="A361" s="4" t="s">
        <v>688</v>
      </c>
      <c r="B361" s="4"/>
      <c r="C361" s="4" t="s">
        <v>19</v>
      </c>
      <c r="D361" s="4" t="s">
        <v>51</v>
      </c>
      <c r="E361" s="4">
        <v>3000</v>
      </c>
      <c r="F361" s="4">
        <v>0</v>
      </c>
      <c r="G361" s="4" t="s">
        <v>696</v>
      </c>
      <c r="H361" s="4">
        <v>0.5</v>
      </c>
    </row>
    <row r="362" spans="1:8" ht="20.05" customHeight="1" x14ac:dyDescent="0.3">
      <c r="A362" s="4" t="s">
        <v>688</v>
      </c>
      <c r="B362" s="4"/>
      <c r="C362" s="4" t="s">
        <v>19</v>
      </c>
      <c r="D362" s="4" t="s">
        <v>680</v>
      </c>
      <c r="E362" s="4">
        <v>780</v>
      </c>
      <c r="F362" s="4">
        <v>780</v>
      </c>
      <c r="G362" s="4" t="s">
        <v>697</v>
      </c>
      <c r="H362" s="4">
        <v>1</v>
      </c>
    </row>
    <row r="363" spans="1:8" ht="20.05" customHeight="1" x14ac:dyDescent="0.3">
      <c r="A363" s="4" t="s">
        <v>688</v>
      </c>
      <c r="B363" s="4"/>
      <c r="C363" s="4" t="s">
        <v>19</v>
      </c>
      <c r="D363" s="4" t="s">
        <v>698</v>
      </c>
      <c r="E363" s="4">
        <v>800</v>
      </c>
      <c r="F363" s="4">
        <v>800</v>
      </c>
      <c r="G363" s="4" t="s">
        <v>687</v>
      </c>
      <c r="H363" s="4">
        <v>1</v>
      </c>
    </row>
    <row r="364" spans="1:8" ht="20.05" customHeight="1" x14ac:dyDescent="0.3">
      <c r="A364" s="4" t="s">
        <v>688</v>
      </c>
      <c r="B364" s="4"/>
      <c r="C364" s="4" t="s">
        <v>19</v>
      </c>
      <c r="D364" s="4" t="s">
        <v>51</v>
      </c>
      <c r="E364" s="4">
        <v>3000</v>
      </c>
      <c r="F364" s="4">
        <v>3000</v>
      </c>
      <c r="G364" s="4" t="s">
        <v>699</v>
      </c>
      <c r="H364" s="4">
        <v>0.5</v>
      </c>
    </row>
    <row r="365" spans="1:8" s="2" customFormat="1" ht="20.05" customHeight="1" x14ac:dyDescent="0.3">
      <c r="A365" s="4" t="s">
        <v>700</v>
      </c>
      <c r="B365" s="4"/>
      <c r="C365" s="4" t="s">
        <v>19</v>
      </c>
      <c r="D365" s="4" t="s">
        <v>680</v>
      </c>
      <c r="E365" s="4">
        <v>1000</v>
      </c>
      <c r="F365" s="4">
        <v>0</v>
      </c>
      <c r="G365" s="4" t="s">
        <v>681</v>
      </c>
      <c r="H365" s="4">
        <v>2</v>
      </c>
    </row>
    <row r="366" spans="1:8" ht="20.05" customHeight="1" x14ac:dyDescent="0.3">
      <c r="A366" s="4" t="s">
        <v>700</v>
      </c>
      <c r="B366" s="4"/>
      <c r="C366" s="4" t="s">
        <v>19</v>
      </c>
      <c r="D366" s="4" t="s">
        <v>675</v>
      </c>
      <c r="E366" s="4">
        <v>3000</v>
      </c>
      <c r="F366" s="4">
        <v>2910</v>
      </c>
      <c r="G366" s="4" t="s">
        <v>701</v>
      </c>
      <c r="H366" s="4">
        <v>2</v>
      </c>
    </row>
    <row r="367" spans="1:8" ht="20.05" customHeight="1" x14ac:dyDescent="0.3">
      <c r="A367" s="4" t="s">
        <v>700</v>
      </c>
      <c r="B367" s="4"/>
      <c r="C367" s="4" t="s">
        <v>19</v>
      </c>
      <c r="D367" s="4" t="s">
        <v>702</v>
      </c>
      <c r="E367" s="4">
        <v>1000</v>
      </c>
      <c r="F367" s="4">
        <v>1000</v>
      </c>
      <c r="G367" s="4" t="s">
        <v>703</v>
      </c>
      <c r="H367" s="4">
        <v>2</v>
      </c>
    </row>
    <row r="368" spans="1:8" ht="20.05" customHeight="1" x14ac:dyDescent="0.3">
      <c r="A368" s="4" t="s">
        <v>700</v>
      </c>
      <c r="B368" s="4"/>
      <c r="C368" s="4" t="s">
        <v>19</v>
      </c>
      <c r="D368" s="4" t="s">
        <v>346</v>
      </c>
      <c r="E368" s="4">
        <v>1000</v>
      </c>
      <c r="F368" s="4">
        <v>1000</v>
      </c>
      <c r="G368" s="4" t="s">
        <v>685</v>
      </c>
      <c r="H368" s="4">
        <v>1</v>
      </c>
    </row>
    <row r="369" spans="1:8" s="2" customFormat="1" ht="20.05" customHeight="1" x14ac:dyDescent="0.3">
      <c r="A369" s="4" t="s">
        <v>704</v>
      </c>
      <c r="B369" s="4"/>
      <c r="C369" s="4" t="s">
        <v>19</v>
      </c>
      <c r="D369" s="4" t="s">
        <v>680</v>
      </c>
      <c r="E369" s="4">
        <v>1000</v>
      </c>
      <c r="F369" s="4">
        <v>0</v>
      </c>
      <c r="G369" s="4" t="s">
        <v>705</v>
      </c>
      <c r="H369" s="4">
        <v>2</v>
      </c>
    </row>
    <row r="370" spans="1:8" ht="20.05" customHeight="1" x14ac:dyDescent="0.3">
      <c r="A370" s="4" t="s">
        <v>704</v>
      </c>
      <c r="B370" s="4"/>
      <c r="C370" s="4" t="s">
        <v>19</v>
      </c>
      <c r="D370" s="4" t="s">
        <v>698</v>
      </c>
      <c r="E370" s="4">
        <v>1000</v>
      </c>
      <c r="F370" s="4">
        <v>1000</v>
      </c>
      <c r="G370" s="4" t="s">
        <v>706</v>
      </c>
      <c r="H370" s="4">
        <v>1</v>
      </c>
    </row>
    <row r="371" spans="1:8" ht="20.05" customHeight="1" x14ac:dyDescent="0.3">
      <c r="A371" s="4" t="s">
        <v>704</v>
      </c>
      <c r="B371" s="4"/>
      <c r="C371" s="4" t="s">
        <v>19</v>
      </c>
      <c r="D371" s="4" t="s">
        <v>680</v>
      </c>
      <c r="E371" s="4">
        <v>780</v>
      </c>
      <c r="F371" s="4">
        <v>780</v>
      </c>
      <c r="G371" s="4" t="s">
        <v>707</v>
      </c>
      <c r="H371" s="4">
        <v>1</v>
      </c>
    </row>
    <row r="372" spans="1:8" ht="20.05" customHeight="1" x14ac:dyDescent="0.3">
      <c r="A372" s="5" t="s">
        <v>708</v>
      </c>
      <c r="B372" s="5" t="s">
        <v>709</v>
      </c>
      <c r="C372" s="5" t="s">
        <v>80</v>
      </c>
      <c r="D372" s="5" t="s">
        <v>710</v>
      </c>
      <c r="E372" s="5">
        <v>8000</v>
      </c>
      <c r="F372" s="5">
        <v>1990</v>
      </c>
      <c r="G372" s="5" t="s">
        <v>711</v>
      </c>
      <c r="H372" s="5">
        <v>10</v>
      </c>
    </row>
    <row r="373" spans="1:8" ht="20.05" customHeight="1" x14ac:dyDescent="0.3">
      <c r="A373" s="5" t="s">
        <v>708</v>
      </c>
      <c r="B373" s="5" t="s">
        <v>712</v>
      </c>
      <c r="C373" s="5" t="s">
        <v>80</v>
      </c>
      <c r="D373" s="5" t="s">
        <v>710</v>
      </c>
      <c r="E373" s="5">
        <v>50000</v>
      </c>
      <c r="F373" s="5">
        <v>25578</v>
      </c>
      <c r="G373" s="5" t="s">
        <v>713</v>
      </c>
      <c r="H373" s="5">
        <v>12</v>
      </c>
    </row>
    <row r="374" spans="1:8" ht="20.05" customHeight="1" x14ac:dyDescent="0.3">
      <c r="A374" s="5" t="s">
        <v>708</v>
      </c>
      <c r="B374" s="5" t="s">
        <v>714</v>
      </c>
      <c r="C374" s="5" t="s">
        <v>80</v>
      </c>
      <c r="D374" s="5" t="s">
        <v>715</v>
      </c>
      <c r="E374" s="5">
        <v>2800</v>
      </c>
      <c r="F374" s="5">
        <v>599.10246900000004</v>
      </c>
      <c r="G374" s="5" t="s">
        <v>716</v>
      </c>
      <c r="H374" s="5">
        <v>3</v>
      </c>
    </row>
    <row r="375" spans="1:8" ht="20.05" customHeight="1" x14ac:dyDescent="0.3">
      <c r="A375" s="5" t="s">
        <v>708</v>
      </c>
      <c r="B375" s="5" t="s">
        <v>717</v>
      </c>
      <c r="C375" s="5" t="s">
        <v>13</v>
      </c>
      <c r="D375" s="5" t="s">
        <v>280</v>
      </c>
      <c r="E375" s="5">
        <v>15000</v>
      </c>
      <c r="F375" s="5">
        <v>12000</v>
      </c>
      <c r="G375" s="5" t="s">
        <v>718</v>
      </c>
      <c r="H375" s="5">
        <v>4</v>
      </c>
    </row>
    <row r="376" spans="1:8" s="20" customFormat="1" ht="25.3" customHeight="1" x14ac:dyDescent="0.3">
      <c r="E376" s="21">
        <f>SUM(E4:E375)</f>
        <v>10954300</v>
      </c>
      <c r="F376" s="21">
        <f>SUM(F4:F375)</f>
        <v>5759606.6041660002</v>
      </c>
    </row>
  </sheetData>
  <autoFilter ref="A3:H375" xr:uid="{00000000-0009-0000-0000-000000000000}"/>
  <mergeCells count="27">
    <mergeCell ref="E302:E303"/>
    <mergeCell ref="E326:E328"/>
    <mergeCell ref="E330:E331"/>
    <mergeCell ref="E332:E333"/>
    <mergeCell ref="E232:E233"/>
    <mergeCell ref="E234:E236"/>
    <mergeCell ref="E240:E242"/>
    <mergeCell ref="E274:E283"/>
    <mergeCell ref="E294:E295"/>
    <mergeCell ref="C274:C283"/>
    <mergeCell ref="C294:C295"/>
    <mergeCell ref="C319:C320"/>
    <mergeCell ref="D274:D283"/>
    <mergeCell ref="D294:D295"/>
    <mergeCell ref="D319:D320"/>
    <mergeCell ref="A274:A283"/>
    <mergeCell ref="A294:A295"/>
    <mergeCell ref="A307:A325"/>
    <mergeCell ref="A334:A336"/>
    <mergeCell ref="B274:B283"/>
    <mergeCell ref="B294:B295"/>
    <mergeCell ref="B319:B320"/>
    <mergeCell ref="A1:H1"/>
    <mergeCell ref="A64:A108"/>
    <mergeCell ref="A111:A114"/>
    <mergeCell ref="A115:A118"/>
    <mergeCell ref="A119:A120"/>
  </mergeCells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国诚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康健</dc:creator>
  <cp:lastModifiedBy>健 康</cp:lastModifiedBy>
  <dcterms:created xsi:type="dcterms:W3CDTF">2023-05-12T11:15:00Z</dcterms:created>
  <dcterms:modified xsi:type="dcterms:W3CDTF">2025-11-10T08:11:48Z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22A4E6B9D6FB46C9B0F6D4907C39E85F_12</vt:lpwstr>
  </property>
</Properties>
</file>