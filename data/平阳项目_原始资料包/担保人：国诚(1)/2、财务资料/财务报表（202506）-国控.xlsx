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00" windowHeight="11325" tabRatio="838" activeTab="4"/>
  </bookViews>
  <sheets>
    <sheet name="合并资产负债表" sheetId="18" r:id="rId1"/>
    <sheet name="合并利润表 " sheetId="19" r:id="rId2"/>
    <sheet name="合并现金流量表 " sheetId="20" r:id="rId3"/>
    <sheet name="合并所有者权益变动表 " sheetId="21" r:id="rId4"/>
    <sheet name="资产负债表" sheetId="22" r:id="rId5"/>
    <sheet name="利润表" sheetId="23" r:id="rId6"/>
    <sheet name="现金流量表" sheetId="24" r:id="rId7"/>
    <sheet name="所有者权益变动表" sheetId="2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Area" localSheetId="1">'合并利润表 '!$A$1:$D$61</definedName>
    <definedName name="_xlnm.Print_Area" localSheetId="3">'合并所有者权益变动表 '!$A$1:$N$74</definedName>
    <definedName name="_xlnm.Print_Area" localSheetId="2">'合并现金流量表 '!$A$1:$D$45</definedName>
    <definedName name="_xlnm.Print_Area" localSheetId="0">合并资产负债表!$A$1:$H$51</definedName>
    <definedName name="_xlnm.Print_Area" localSheetId="5">利润表!$A$1:$D$47</definedName>
    <definedName name="_xlnm.Print_Area" localSheetId="7">所有者权益变动表!$A$1:$L$70</definedName>
    <definedName name="_xlnm.Print_Area" localSheetId="6">现金流量表!$A$1:$D$43</definedName>
    <definedName name="_xlnm.Print_Area" localSheetId="4">资产负债表!$A$1:$H$49</definedName>
    <definedName name="_xlnm.Print_Area">#REF!</definedName>
    <definedName name="Print_Area_MI">#REF!</definedName>
    <definedName name="_xlnm.Print_Titles">#REF!,#REF!</definedName>
    <definedName name="전" localSheetId="1">#REF!</definedName>
    <definedName name="전" localSheetId="3">#REF!</definedName>
    <definedName name="전" localSheetId="2">#REF!</definedName>
    <definedName name="전" localSheetId="5">#REF!</definedName>
    <definedName name="전" localSheetId="4">#REF!</definedName>
    <definedName name="전">#REF!</definedName>
    <definedName name="주택사업본부" localSheetId="1">#REF!</definedName>
    <definedName name="주택사업본부" localSheetId="3">#REF!</definedName>
    <definedName name="주택사업본부" localSheetId="2">#REF!</definedName>
    <definedName name="주택사업본부" localSheetId="5">#REF!</definedName>
    <definedName name="주택사업본부" localSheetId="4">#REF!</definedName>
    <definedName name="주택사업본부">#REF!</definedName>
    <definedName name="철구사업본부" localSheetId="1">#REF!</definedName>
    <definedName name="철구사업본부" localSheetId="3">#REF!</definedName>
    <definedName name="철구사업본부" localSheetId="2">#REF!</definedName>
    <definedName name="철구사업본부" localSheetId="5">#REF!</definedName>
    <definedName name="철구사업본부" localSheetId="4">#REF!</definedName>
    <definedName name="철구사업본부">#REF!</definedName>
  </definedName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<sst xmlns="http://schemas.openxmlformats.org/spreadsheetml/2006/main" count="646" uniqueCount="394">
  <si>
    <r>
      <rPr>
        <b/>
        <sz val="16"/>
        <rFont val="宋体"/>
        <charset val="134"/>
      </rPr>
      <t>合并资产负债表</t>
    </r>
  </si>
  <si>
    <r>
      <rPr>
        <sz val="10"/>
        <rFont val="宋体"/>
        <charset val="134"/>
      </rPr>
      <t>编制单位：平阳县国诚控股有限公司</t>
    </r>
  </si>
  <si>
    <r>
      <rPr>
        <sz val="10"/>
        <rFont val="宋体"/>
        <charset val="134"/>
      </rPr>
      <t>单位：元</t>
    </r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币种：人民币</t>
    </r>
  </si>
  <si>
    <r>
      <rPr>
        <b/>
        <sz val="10"/>
        <rFont val="宋体"/>
        <charset val="134"/>
      </rPr>
      <t>项</t>
    </r>
    <r>
      <rPr>
        <b/>
        <sz val="10"/>
        <rFont val="Arial Narrow"/>
        <charset val="134"/>
      </rPr>
      <t xml:space="preserve">  </t>
    </r>
    <r>
      <rPr>
        <b/>
        <sz val="10"/>
        <rFont val="宋体"/>
        <charset val="134"/>
      </rPr>
      <t>目</t>
    </r>
  </si>
  <si>
    <r>
      <rPr>
        <b/>
        <sz val="10"/>
        <rFont val="宋体"/>
        <charset val="134"/>
      </rPr>
      <t>附注</t>
    </r>
  </si>
  <si>
    <r>
      <rPr>
        <b/>
        <sz val="10"/>
        <rFont val="宋体"/>
        <charset val="134"/>
      </rPr>
      <t>本年金额</t>
    </r>
  </si>
  <si>
    <r>
      <rPr>
        <b/>
        <sz val="10"/>
        <rFont val="宋体"/>
        <charset val="134"/>
      </rPr>
      <t>上年金额</t>
    </r>
  </si>
  <si>
    <r>
      <rPr>
        <b/>
        <sz val="10"/>
        <rFont val="宋体"/>
        <charset val="134"/>
      </rPr>
      <t>流动资产：</t>
    </r>
  </si>
  <si>
    <r>
      <rPr>
        <b/>
        <sz val="10"/>
        <rFont val="宋体"/>
        <charset val="134"/>
      </rPr>
      <t>流动负债：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</si>
  <si>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货币资金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</si>
  <si>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</si>
  <si>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短期借款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</si>
  <si>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18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</si>
  <si>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交易性金融资产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</si>
  <si>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交易性金融负债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</si>
  <si>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衍生金融资产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</si>
  <si>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衍生金融负债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</si>
  <si>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应收票据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</si>
  <si>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应付票据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</si>
  <si>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19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</si>
  <si>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应收账款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</si>
  <si>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</si>
  <si>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应付账款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</si>
  <si>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20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</si>
  <si>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应收款项融资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</si>
  <si>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预收款项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</si>
  <si>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21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</si>
  <si>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预付款项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</si>
  <si>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</si>
  <si>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合同负债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</si>
  <si>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22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</si>
  <si>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其他应收款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</si>
  <si>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</si>
  <si>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应付职工薪酬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</si>
  <si>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23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</si>
  <si>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其中：应收利息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</si>
  <si>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应交税费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</si>
  <si>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24</t>
    </r>
  </si>
  <si>
    <r>
      <rPr>
        <sz val="10"/>
        <rFont val="Arial Narrow"/>
        <charset val="134"/>
      </rPr>
      <t xml:space="preserve">          </t>
    </r>
    <r>
      <rPr>
        <sz val="10"/>
        <rFont val="宋体"/>
        <charset val="134"/>
      </rPr>
      <t>应收股利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</si>
  <si>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其他应付款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</si>
  <si>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25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</si>
  <si>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存货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</si>
  <si>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5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</si>
  <si>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其中：应付利息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</si>
  <si>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合同资产</t>
    </r>
  </si>
  <si>
    <r>
      <rPr>
        <sz val="10"/>
        <rFont val="Arial Narrow"/>
        <charset val="134"/>
      </rPr>
      <t xml:space="preserve">          </t>
    </r>
    <r>
      <rPr>
        <sz val="10"/>
        <rFont val="宋体"/>
        <charset val="134"/>
      </rPr>
      <t>应付股利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</si>
  <si>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持有待售资产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</si>
  <si>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持有待售负债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</si>
  <si>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一年内到期的非流动资产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</si>
  <si>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一年内到期的非流动负债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</si>
  <si>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26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</si>
  <si>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其他流动资产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</si>
  <si>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6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</si>
  <si>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其他流动负债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</si>
  <si>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27</t>
    </r>
  </si>
  <si>
    <r>
      <rPr>
        <b/>
        <sz val="10"/>
        <rFont val="宋体"/>
        <charset val="134"/>
      </rPr>
      <t>流动资产合计</t>
    </r>
  </si>
  <si>
    <r>
      <rPr>
        <b/>
        <sz val="10"/>
        <rFont val="宋体"/>
        <charset val="134"/>
      </rPr>
      <t>流动负债合计</t>
    </r>
  </si>
  <si>
    <r>
      <rPr>
        <b/>
        <sz val="10"/>
        <rFont val="宋体"/>
        <charset val="134"/>
      </rPr>
      <t>非流动资产：</t>
    </r>
  </si>
  <si>
    <r>
      <rPr>
        <b/>
        <sz val="10"/>
        <rFont val="宋体"/>
        <charset val="134"/>
      </rPr>
      <t>非流动负债：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</si>
  <si>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债权投资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</si>
  <si>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长期借款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</si>
  <si>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28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</si>
  <si>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其他债权投资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</si>
  <si>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应付债券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</si>
  <si>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29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</si>
  <si>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长期应收款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</si>
  <si>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7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</si>
  <si>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其中：优先股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</si>
  <si>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长期股权投资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</si>
  <si>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8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</si>
  <si>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永续债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</si>
  <si>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其他权益工具投资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</si>
  <si>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9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</si>
  <si>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租赁负债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</si>
  <si>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30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</si>
  <si>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其他非流动金融资产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</si>
  <si>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长期应付款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</si>
  <si>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31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</si>
  <si>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投资性房地产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</si>
  <si>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10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</si>
  <si>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长期应付职工薪酬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</si>
  <si>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固定资产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</si>
  <si>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11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</si>
  <si>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预计负债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</si>
  <si>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在建工程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</si>
  <si>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12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</si>
  <si>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递延收益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</si>
  <si>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32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</si>
  <si>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生产性生物资产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</si>
  <si>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递延所得税负债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</si>
  <si>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16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</si>
  <si>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油气资产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</si>
  <si>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其他非流动负债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</si>
  <si>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使用权资产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</si>
  <si>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13</t>
    </r>
  </si>
  <si>
    <r>
      <rPr>
        <b/>
        <sz val="10"/>
        <rFont val="宋体"/>
        <charset val="134"/>
      </rPr>
      <t>非流动负债合计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</si>
  <si>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无形资产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</si>
  <si>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14</t>
    </r>
  </si>
  <si>
    <r>
      <rPr>
        <b/>
        <sz val="10"/>
        <rFont val="宋体"/>
        <charset val="134"/>
      </rPr>
      <t>负债合计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</si>
  <si>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开发支出</t>
    </r>
  </si>
  <si>
    <r>
      <rPr>
        <b/>
        <sz val="10"/>
        <rFont val="宋体"/>
        <charset val="134"/>
      </rPr>
      <t>所有者权益：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</si>
  <si>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商誉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</si>
  <si>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实收资本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</si>
  <si>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33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</si>
  <si>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长期待摊费用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</si>
  <si>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15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</si>
  <si>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其他权益工具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</si>
  <si>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递延所得税资产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</si>
  <si>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其中：优先股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</si>
  <si>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其他非流动资产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</si>
  <si>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17</t>
    </r>
  </si>
  <si>
    <r>
      <rPr>
        <sz val="10"/>
        <rFont val="Arial Narrow"/>
        <charset val="134"/>
      </rPr>
      <t xml:space="preserve">         </t>
    </r>
    <r>
      <rPr>
        <sz val="10"/>
        <rFont val="宋体"/>
        <charset val="134"/>
      </rPr>
      <t>永续债</t>
    </r>
  </si>
  <si>
    <r>
      <rPr>
        <b/>
        <sz val="10"/>
        <rFont val="宋体"/>
        <charset val="134"/>
      </rPr>
      <t>非流动资产合计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</si>
  <si>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资本公积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</si>
  <si>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34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</si>
  <si>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减：库存股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</si>
  <si>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其他综合收益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</si>
  <si>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35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</si>
  <si>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专项储备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</si>
  <si>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36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</si>
  <si>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盈余公积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</si>
  <si>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37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</si>
  <si>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未分配利润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</si>
  <si>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38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</si>
  <si>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归属于母公司所有者权益合计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</si>
  <si>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少数股东权益</t>
    </r>
  </si>
  <si>
    <r>
      <rPr>
        <b/>
        <sz val="10"/>
        <rFont val="宋体"/>
        <charset val="134"/>
      </rPr>
      <t>所有者权益合计</t>
    </r>
  </si>
  <si>
    <r>
      <rPr>
        <b/>
        <sz val="10"/>
        <rFont val="宋体"/>
        <charset val="134"/>
      </rPr>
      <t>资产总计</t>
    </r>
  </si>
  <si>
    <r>
      <rPr>
        <b/>
        <sz val="10"/>
        <rFont val="宋体"/>
        <charset val="134"/>
      </rPr>
      <t>负债和所有者权益总计</t>
    </r>
  </si>
  <si>
    <r>
      <rPr>
        <sz val="9"/>
        <rFont val="宋体"/>
        <charset val="134"/>
      </rPr>
      <t>法定代表人：</t>
    </r>
  </si>
  <si>
    <r>
      <rPr>
        <sz val="9"/>
        <rFont val="宋体"/>
        <charset val="134"/>
      </rPr>
      <t>主管会计工作负责人：</t>
    </r>
  </si>
  <si>
    <r>
      <rPr>
        <sz val="9"/>
        <rFont val="宋体"/>
        <charset val="134"/>
      </rPr>
      <t>会计机构负责人：</t>
    </r>
  </si>
  <si>
    <r>
      <rPr>
        <b/>
        <sz val="16"/>
        <rFont val="宋体"/>
        <charset val="134"/>
      </rPr>
      <t>合并利润表</t>
    </r>
  </si>
  <si>
    <r>
      <rPr>
        <sz val="10"/>
        <rFont val="Arial Narrow"/>
        <charset val="134"/>
      </rPr>
      <t xml:space="preserve"> 2025</t>
    </r>
    <r>
      <rPr>
        <sz val="10"/>
        <rFont val="宋体"/>
        <charset val="134"/>
      </rPr>
      <t>年</t>
    </r>
    <r>
      <rPr>
        <sz val="10"/>
        <rFont val="Arial Narrow"/>
        <charset val="134"/>
      </rPr>
      <t>1-6</t>
    </r>
    <r>
      <rPr>
        <sz val="10"/>
        <rFont val="宋体"/>
        <charset val="134"/>
      </rPr>
      <t>月</t>
    </r>
  </si>
  <si>
    <r>
      <rPr>
        <sz val="10"/>
        <rFont val="宋体"/>
        <charset val="134"/>
      </rPr>
      <t>单位：元</t>
    </r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币种：人民币</t>
    </r>
  </si>
  <si>
    <r>
      <rPr>
        <b/>
        <sz val="10"/>
        <rFont val="宋体"/>
        <charset val="134"/>
      </rPr>
      <t>项</t>
    </r>
    <r>
      <rPr>
        <b/>
        <sz val="10"/>
        <rFont val="Arial Narrow"/>
        <charset val="134"/>
      </rPr>
      <t xml:space="preserve"> </t>
    </r>
    <r>
      <rPr>
        <b/>
        <sz val="10"/>
        <rFont val="宋体"/>
        <charset val="134"/>
      </rPr>
      <t>　　目</t>
    </r>
  </si>
  <si>
    <r>
      <rPr>
        <b/>
        <sz val="10"/>
        <rFont val="宋体"/>
        <charset val="134"/>
      </rPr>
      <t>一、营业总收入</t>
    </r>
  </si>
  <si>
    <r>
      <rPr>
        <sz val="10"/>
        <rFont val="宋体"/>
        <charset val="134"/>
      </rPr>
      <t>其中：营业收入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</si>
  <si>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39</t>
    </r>
  </si>
  <si>
    <r>
      <rPr>
        <b/>
        <sz val="10"/>
        <rFont val="宋体"/>
        <charset val="134"/>
      </rPr>
      <t>二、营业总成本</t>
    </r>
  </si>
  <si>
    <r>
      <rPr>
        <sz val="10"/>
        <rFont val="宋体"/>
        <charset val="134"/>
      </rPr>
      <t>其中：营业成本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</si>
  <si>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税金及附加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</si>
  <si>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销售费用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</si>
  <si>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管理费用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</si>
  <si>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研发费用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</si>
  <si>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财务费用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</si>
  <si>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40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</si>
  <si>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其中</t>
    </r>
    <r>
      <rPr>
        <sz val="10"/>
        <rFont val="Arial Narrow"/>
        <charset val="134"/>
      </rPr>
      <t>:</t>
    </r>
    <r>
      <rPr>
        <sz val="10"/>
        <rFont val="宋体"/>
        <charset val="134"/>
      </rPr>
      <t>利息费用</t>
    </r>
  </si>
  <si>
    <r>
      <rPr>
        <sz val="10"/>
        <rFont val="Arial Narrow"/>
        <charset val="134"/>
      </rPr>
      <t xml:space="preserve">             </t>
    </r>
    <r>
      <rPr>
        <sz val="10"/>
        <rFont val="宋体"/>
        <charset val="134"/>
      </rPr>
      <t>利息收入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</si>
  <si>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加：其他收益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</si>
  <si>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41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</si>
  <si>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投资收益（损失以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</si>
  <si>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42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</si>
  <si>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其中：对联营企业和合营企业的投资收益</t>
    </r>
  </si>
  <si>
    <r>
      <rPr>
        <sz val="10"/>
        <rFont val="Arial Narrow"/>
        <charset val="134"/>
      </rPr>
      <t xml:space="preserve">             </t>
    </r>
    <r>
      <rPr>
        <sz val="10"/>
        <rFont val="宋体"/>
        <charset val="134"/>
      </rPr>
      <t>以摊余成本计量的金融资产终止确认收益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</si>
  <si>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净敞口套期收益（损失以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</si>
  <si>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公允价值变动收益（损失以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</si>
  <si>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43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</si>
  <si>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信用减值损失（损失以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</si>
  <si>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44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</si>
  <si>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资产减值损失（损失以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</si>
  <si>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   </t>
    </r>
    <r>
      <rPr>
        <sz val="10"/>
        <rFont val="宋体"/>
        <charset val="134"/>
      </rPr>
      <t>资产处置收益（损失以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</si>
  <si>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45</t>
    </r>
  </si>
  <si>
    <r>
      <rPr>
        <b/>
        <sz val="10"/>
        <rFont val="宋体"/>
        <charset val="134"/>
      </rPr>
      <t>三、营业利润（亏损以</t>
    </r>
    <r>
      <rPr>
        <b/>
        <sz val="10"/>
        <rFont val="Arial Narrow"/>
        <charset val="134"/>
      </rPr>
      <t>“-”</t>
    </r>
    <r>
      <rPr>
        <b/>
        <sz val="10"/>
        <rFont val="宋体"/>
        <charset val="134"/>
      </rPr>
      <t>号填列）</t>
    </r>
  </si>
  <si>
    <r>
      <rPr>
        <sz val="10"/>
        <rFont val="宋体"/>
        <charset val="134"/>
      </rPr>
      <t>加：营业外收入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</si>
  <si>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46</t>
    </r>
  </si>
  <si>
    <r>
      <rPr>
        <sz val="10"/>
        <rFont val="宋体"/>
        <charset val="134"/>
      </rPr>
      <t>减：营业外支出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</si>
  <si>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47</t>
    </r>
  </si>
  <si>
    <r>
      <rPr>
        <b/>
        <sz val="10"/>
        <rFont val="宋体"/>
        <charset val="134"/>
      </rPr>
      <t>四、利润总额（亏损总额以</t>
    </r>
    <r>
      <rPr>
        <b/>
        <sz val="10"/>
        <rFont val="Arial Narrow"/>
        <charset val="134"/>
      </rPr>
      <t>“-”</t>
    </r>
    <r>
      <rPr>
        <b/>
        <sz val="10"/>
        <rFont val="宋体"/>
        <charset val="134"/>
      </rPr>
      <t>号填列）</t>
    </r>
  </si>
  <si>
    <r>
      <rPr>
        <sz val="10"/>
        <rFont val="宋体"/>
        <charset val="134"/>
      </rPr>
      <t>减：所得税费用</t>
    </r>
  </si>
  <si>
    <r>
      <rPr>
        <sz val="10"/>
        <rFont val="宋体"/>
        <charset val="134"/>
      </rPr>
      <t>附注八、注释</t>
    </r>
    <r>
      <rPr>
        <sz val="10"/>
        <rFont val="Arial Narrow"/>
        <charset val="134"/>
      </rPr>
      <t>48</t>
    </r>
  </si>
  <si>
    <r>
      <rPr>
        <b/>
        <sz val="10"/>
        <rFont val="宋体"/>
        <charset val="134"/>
      </rPr>
      <t>五、净利润（净亏损以</t>
    </r>
    <r>
      <rPr>
        <b/>
        <sz val="10"/>
        <rFont val="Arial Narrow"/>
        <charset val="134"/>
      </rPr>
      <t>“-”</t>
    </r>
    <r>
      <rPr>
        <b/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</si>
  <si>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（一）按经营持续性分类</t>
    </r>
  </si>
  <si>
    <r>
      <rPr>
        <sz val="10"/>
        <rFont val="Arial Narrow"/>
        <charset val="134"/>
      </rPr>
      <t xml:space="preserve">   1.</t>
    </r>
    <r>
      <rPr>
        <sz val="10"/>
        <rFont val="宋体"/>
        <charset val="134"/>
      </rPr>
      <t>持续经营净利润（净亏损以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</si>
  <si>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2.</t>
    </r>
    <r>
      <rPr>
        <sz val="10"/>
        <rFont val="宋体"/>
        <charset val="134"/>
      </rPr>
      <t>终止经营净利润（净亏损以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</si>
  <si>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（二）按所有权归属分类</t>
    </r>
  </si>
  <si>
    <r>
      <rPr>
        <sz val="10"/>
        <rFont val="Arial Narrow"/>
        <charset val="134"/>
      </rPr>
      <t xml:space="preserve">   1.</t>
    </r>
    <r>
      <rPr>
        <sz val="10"/>
        <rFont val="宋体"/>
        <charset val="134"/>
      </rPr>
      <t>归属于母公司所有者的净利润（净亏损以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</si>
  <si>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2.</t>
    </r>
    <r>
      <rPr>
        <sz val="10"/>
        <rFont val="宋体"/>
        <charset val="134"/>
      </rPr>
      <t>少数股东损益（净亏损以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</si>
  <si>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b/>
        <sz val="10"/>
        <rFont val="宋体"/>
        <charset val="134"/>
      </rPr>
      <t>六、其他综合收益的税后净额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</si>
  <si>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（一）归属于母公司所有者的其他综合收益的税后净额</t>
    </r>
  </si>
  <si>
    <r>
      <rPr>
        <sz val="10"/>
        <rFont val="Arial Narrow"/>
        <charset val="134"/>
      </rPr>
      <t xml:space="preserve">   1. </t>
    </r>
    <r>
      <rPr>
        <sz val="10"/>
        <rFont val="宋体"/>
        <charset val="134"/>
      </rPr>
      <t>不能重分类进损益的其他综合收益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</si>
  <si>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1</t>
    </r>
    <r>
      <rPr>
        <sz val="10"/>
        <rFont val="宋体"/>
        <charset val="134"/>
      </rPr>
      <t>）重新计量设定受益计划变动额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</si>
  <si>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2</t>
    </r>
    <r>
      <rPr>
        <sz val="10"/>
        <rFont val="宋体"/>
        <charset val="134"/>
      </rPr>
      <t>）权益法下不能转损益的其他综合收益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</si>
  <si>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3</t>
    </r>
    <r>
      <rPr>
        <sz val="10"/>
        <rFont val="宋体"/>
        <charset val="134"/>
      </rPr>
      <t>）其他权益工具投资公允价值变动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</si>
  <si>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4</t>
    </r>
    <r>
      <rPr>
        <sz val="10"/>
        <rFont val="宋体"/>
        <charset val="134"/>
      </rPr>
      <t>）企业自身信用风险公允价值变动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</si>
  <si>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5</t>
    </r>
    <r>
      <rPr>
        <sz val="10"/>
        <rFont val="宋体"/>
        <charset val="134"/>
      </rPr>
      <t>）其他</t>
    </r>
  </si>
  <si>
    <r>
      <rPr>
        <sz val="10"/>
        <rFont val="Arial Narrow"/>
        <charset val="134"/>
      </rPr>
      <t xml:space="preserve">   2. </t>
    </r>
    <r>
      <rPr>
        <sz val="10"/>
        <rFont val="宋体"/>
        <charset val="134"/>
      </rPr>
      <t>将重分类进损益的其他综合收益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</si>
  <si>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1</t>
    </r>
    <r>
      <rPr>
        <sz val="10"/>
        <rFont val="宋体"/>
        <charset val="134"/>
      </rPr>
      <t>）权益法下可转损益的其他综合收益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</si>
  <si>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2</t>
    </r>
    <r>
      <rPr>
        <sz val="10"/>
        <rFont val="宋体"/>
        <charset val="134"/>
      </rPr>
      <t>）其他债权投资公允价值变动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</si>
  <si>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3</t>
    </r>
    <r>
      <rPr>
        <sz val="10"/>
        <rFont val="宋体"/>
        <charset val="134"/>
      </rPr>
      <t>）金融资产重分类计入其他综合收益的金额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</si>
  <si>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4</t>
    </r>
    <r>
      <rPr>
        <sz val="10"/>
        <rFont val="宋体"/>
        <charset val="134"/>
      </rPr>
      <t>）其他债权投资信用减值准备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</si>
  <si>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5</t>
    </r>
    <r>
      <rPr>
        <sz val="10"/>
        <rFont val="宋体"/>
        <charset val="134"/>
      </rPr>
      <t>）现金流量套期储备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</si>
  <si>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6</t>
    </r>
    <r>
      <rPr>
        <sz val="10"/>
        <rFont val="宋体"/>
        <charset val="134"/>
      </rPr>
      <t>）外币财务报表折算差额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</si>
  <si>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Arial Narrow"/>
        <charset val="134"/>
      </rPr>
      <t>7</t>
    </r>
    <r>
      <rPr>
        <sz val="10"/>
        <rFont val="宋体"/>
        <charset val="134"/>
      </rPr>
      <t>）其他</t>
    </r>
  </si>
  <si>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（二）归属于少数股东的其他综合收益的税后净额</t>
    </r>
  </si>
  <si>
    <r>
      <rPr>
        <b/>
        <sz val="10"/>
        <rFont val="宋体"/>
        <charset val="134"/>
      </rPr>
      <t>七、综合收益总额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</si>
  <si>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（一）归属于母公司所有者的综合收益总额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</si>
  <si>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（二）归属于少数股东的综合收益总额</t>
    </r>
  </si>
  <si>
    <r>
      <rPr>
        <b/>
        <sz val="10"/>
        <rFont val="宋体"/>
        <charset val="134"/>
      </rPr>
      <t>八、每股收益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</si>
  <si>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（一）基本每股收益（元</t>
    </r>
    <r>
      <rPr>
        <sz val="10"/>
        <rFont val="Arial Narrow"/>
        <charset val="134"/>
      </rPr>
      <t>/</t>
    </r>
    <r>
      <rPr>
        <sz val="10"/>
        <rFont val="宋体"/>
        <charset val="134"/>
      </rPr>
      <t>股）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</si>
  <si>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（二）稀释每股收益（元</t>
    </r>
    <r>
      <rPr>
        <sz val="10"/>
        <rFont val="Arial Narrow"/>
        <charset val="134"/>
      </rPr>
      <t>/</t>
    </r>
    <r>
      <rPr>
        <sz val="10"/>
        <rFont val="宋体"/>
        <charset val="134"/>
      </rPr>
      <t>股）</t>
    </r>
  </si>
  <si>
    <r>
      <rPr>
        <sz val="9"/>
        <rFont val="宋体"/>
        <charset val="134"/>
      </rPr>
      <t>本期发生同一控制下企业合并的，被合并方在合并前实现的净利润为：</t>
    </r>
    <r>
      <rPr>
        <sz val="9"/>
        <rFont val="Arial Narrow"/>
        <charset val="134"/>
      </rPr>
      <t>XXXX</t>
    </r>
    <r>
      <rPr>
        <sz val="9"/>
        <rFont val="宋体"/>
        <charset val="134"/>
      </rPr>
      <t>元，</t>
    </r>
    <r>
      <rPr>
        <sz val="9"/>
        <rFont val="Arial Narrow"/>
        <charset val="134"/>
      </rPr>
      <t xml:space="preserve"> </t>
    </r>
    <r>
      <rPr>
        <sz val="9"/>
        <rFont val="宋体"/>
        <charset val="134"/>
      </rPr>
      <t>上期被合并方实现的净利润为：</t>
    </r>
    <r>
      <rPr>
        <sz val="9"/>
        <rFont val="Arial Narrow"/>
        <charset val="134"/>
      </rPr>
      <t>XXXX</t>
    </r>
    <r>
      <rPr>
        <sz val="9"/>
        <rFont val="宋体"/>
        <charset val="134"/>
      </rPr>
      <t>元。</t>
    </r>
  </si>
  <si>
    <r>
      <rPr>
        <sz val="9"/>
        <rFont val="宋体"/>
        <charset val="134"/>
      </rPr>
      <t>法定代表人：</t>
    </r>
    <r>
      <rPr>
        <sz val="9"/>
        <rFont val="Arial Narrow"/>
        <charset val="134"/>
      </rPr>
      <t xml:space="preserve">                              </t>
    </r>
    <r>
      <rPr>
        <sz val="9"/>
        <rFont val="宋体"/>
        <charset val="134"/>
      </rPr>
      <t>主管会计工作负责人：</t>
    </r>
    <r>
      <rPr>
        <sz val="9"/>
        <rFont val="Arial Narrow"/>
        <charset val="134"/>
      </rPr>
      <t xml:space="preserve">  </t>
    </r>
  </si>
  <si>
    <r>
      <rPr>
        <b/>
        <sz val="16"/>
        <rFont val="宋体"/>
        <charset val="134"/>
      </rPr>
      <t>合并现金流量表</t>
    </r>
  </si>
  <si>
    <r>
      <rPr>
        <sz val="10"/>
        <rFont val="宋体"/>
        <charset val="134"/>
      </rPr>
      <t>单位：元</t>
    </r>
    <r>
      <rPr>
        <sz val="10"/>
        <rFont val="Arial Narrow"/>
        <charset val="134"/>
      </rPr>
      <t xml:space="preserve">  </t>
    </r>
    <r>
      <rPr>
        <sz val="10"/>
        <rFont val="宋体"/>
        <charset val="134"/>
      </rPr>
      <t>币种：人民币</t>
    </r>
  </si>
  <si>
    <r>
      <rPr>
        <b/>
        <sz val="10"/>
        <rFont val="宋体"/>
        <charset val="134"/>
      </rPr>
      <t>项　　</t>
    </r>
    <r>
      <rPr>
        <b/>
        <sz val="10"/>
        <rFont val="Arial Narrow"/>
        <charset val="134"/>
      </rPr>
      <t xml:space="preserve"> </t>
    </r>
    <r>
      <rPr>
        <b/>
        <sz val="10"/>
        <rFont val="宋体"/>
        <charset val="134"/>
      </rPr>
      <t>目</t>
    </r>
  </si>
  <si>
    <r>
      <rPr>
        <b/>
        <sz val="10"/>
        <rFont val="宋体"/>
        <charset val="134"/>
      </rPr>
      <t>一、经营活动产生的现金流量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</si>
  <si>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销售商品、提供劳务收到的现金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</si>
  <si>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收到的税费返还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</si>
  <si>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收到其他与经营活动有关的现金</t>
    </r>
  </si>
  <si>
    <r>
      <rPr>
        <sz val="10"/>
        <rFont val="宋体"/>
        <charset val="134"/>
      </rPr>
      <t>经营活动现金流入小计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</si>
  <si>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购买商品、接受劳务支付的现金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</si>
  <si>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支付给职工以及为职工支付的现金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</si>
  <si>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支付的各项税费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</si>
  <si>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支付其他与经营活动有关的现金</t>
    </r>
  </si>
  <si>
    <r>
      <rPr>
        <sz val="10"/>
        <rFont val="宋体"/>
        <charset val="134"/>
      </rPr>
      <t>经营活动现金流出小计</t>
    </r>
  </si>
  <si>
    <r>
      <rPr>
        <b/>
        <sz val="10"/>
        <rFont val="宋体"/>
        <charset val="134"/>
      </rPr>
      <t>经营活动产生的现金流量净额</t>
    </r>
  </si>
  <si>
    <r>
      <rPr>
        <b/>
        <sz val="10"/>
        <rFont val="宋体"/>
        <charset val="134"/>
      </rPr>
      <t>二、投资活动产生的现金流量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</si>
  <si>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收回投资收到的现金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</si>
  <si>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取得投资收益收到的现金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</si>
  <si>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处置固定资产、无形资产和其他长期资产收回的现金净额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</si>
  <si>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处置子公司及其他营业单位收到的现金净额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</si>
  <si>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收到其他与投资活动有关的现金</t>
    </r>
  </si>
  <si>
    <r>
      <rPr>
        <sz val="10"/>
        <rFont val="宋体"/>
        <charset val="134"/>
      </rPr>
      <t>投资活动现金流入小计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</si>
  <si>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购建固定资产、无形资产和其他长期资产支付的现金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</si>
  <si>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投资支付的现金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</si>
  <si>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取得子公司及其他营业单位支付的现金净额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</si>
  <si>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支付其他与投资活动有关的现金</t>
    </r>
  </si>
  <si>
    <r>
      <rPr>
        <sz val="10"/>
        <rFont val="宋体"/>
        <charset val="134"/>
      </rPr>
      <t>投资活动现金流出小计</t>
    </r>
  </si>
  <si>
    <r>
      <rPr>
        <b/>
        <sz val="10"/>
        <rFont val="宋体"/>
        <charset val="134"/>
      </rPr>
      <t>投资活动产生的现金流量净额</t>
    </r>
  </si>
  <si>
    <r>
      <rPr>
        <b/>
        <sz val="10"/>
        <rFont val="宋体"/>
        <charset val="134"/>
      </rPr>
      <t>三、筹资活动产生的现金流量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</si>
  <si>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吸收投资收到的现金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</si>
  <si>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其中：子公司吸收少数股东投资收到的现金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</si>
  <si>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取得借款收到的现金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</si>
  <si>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收到其他与筹资活动有关的现金</t>
    </r>
  </si>
  <si>
    <r>
      <rPr>
        <sz val="10"/>
        <rFont val="宋体"/>
        <charset val="134"/>
      </rPr>
      <t>　　筹资活动现金流入小计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</si>
  <si>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偿还债务支付的现金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</si>
  <si>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分配股利、利润或偿付利息支付的现金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</si>
  <si>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其中：子公司支付给少数股东的股利、利润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</si>
  <si>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支付其他与筹资活动有关的现金</t>
    </r>
  </si>
  <si>
    <r>
      <rPr>
        <sz val="10"/>
        <rFont val="宋体"/>
        <charset val="134"/>
      </rPr>
      <t>　　筹资活动现金流出小计</t>
    </r>
  </si>
  <si>
    <r>
      <rPr>
        <b/>
        <sz val="10"/>
        <rFont val="宋体"/>
        <charset val="134"/>
      </rPr>
      <t>筹资活动产生的现金流量净额</t>
    </r>
  </si>
  <si>
    <r>
      <rPr>
        <b/>
        <sz val="10"/>
        <rFont val="宋体"/>
        <charset val="134"/>
      </rPr>
      <t>四、汇率变动对现金及现金等价物的影响</t>
    </r>
  </si>
  <si>
    <r>
      <rPr>
        <b/>
        <sz val="10"/>
        <rFont val="宋体"/>
        <charset val="134"/>
      </rPr>
      <t>五、现金及现金等价物净增加额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</si>
  <si>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加：期初现金及现金等价物余额</t>
    </r>
  </si>
  <si>
    <r>
      <rPr>
        <b/>
        <sz val="10"/>
        <rFont val="宋体"/>
        <charset val="134"/>
      </rPr>
      <t>六、期末现金及现金等价物余额</t>
    </r>
  </si>
  <si>
    <r>
      <rPr>
        <sz val="10"/>
        <rFont val="宋体"/>
        <charset val="134"/>
      </rPr>
      <t>法定代表人：</t>
    </r>
    <r>
      <rPr>
        <sz val="10"/>
        <rFont val="Arial Narrow"/>
        <charset val="134"/>
      </rPr>
      <t xml:space="preserve">                                                    </t>
    </r>
    <r>
      <rPr>
        <sz val="10"/>
        <rFont val="宋体"/>
        <charset val="134"/>
      </rPr>
      <t>主管会计工作负责人：</t>
    </r>
  </si>
  <si>
    <r>
      <rPr>
        <sz val="10"/>
        <rFont val="宋体"/>
        <charset val="134"/>
      </rPr>
      <t>会计机构负责人：</t>
    </r>
  </si>
  <si>
    <r>
      <rPr>
        <sz val="12"/>
        <rFont val="宋体"/>
        <charset val="134"/>
      </rPr>
      <t>受限</t>
    </r>
  </si>
  <si>
    <r>
      <rPr>
        <sz val="12"/>
        <color rgb="FFFF0000"/>
        <rFont val="宋体"/>
        <charset val="134"/>
      </rPr>
      <t>受限</t>
    </r>
  </si>
  <si>
    <r>
      <rPr>
        <b/>
        <sz val="16"/>
        <rFont val="宋体"/>
        <charset val="134"/>
      </rPr>
      <t>合并所有者权益变动表</t>
    </r>
  </si>
  <si>
    <r>
      <rPr>
        <sz val="10"/>
        <rFont val="宋体"/>
        <charset val="134"/>
      </rPr>
      <t>单位：元</t>
    </r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币种：人民币</t>
    </r>
  </si>
  <si>
    <r>
      <rPr>
        <b/>
        <sz val="10"/>
        <rFont val="宋体"/>
        <charset val="134"/>
      </rPr>
      <t>项</t>
    </r>
    <r>
      <rPr>
        <b/>
        <sz val="10"/>
        <rFont val="Arial Narrow"/>
        <charset val="134"/>
      </rPr>
      <t xml:space="preserve"> </t>
    </r>
    <r>
      <rPr>
        <b/>
        <sz val="10"/>
        <rFont val="宋体"/>
        <charset val="134"/>
      </rPr>
      <t>目</t>
    </r>
  </si>
  <si>
    <r>
      <rPr>
        <b/>
        <sz val="10"/>
        <rFont val="宋体"/>
        <charset val="134"/>
      </rPr>
      <t>归属于母公司所有者权益</t>
    </r>
  </si>
  <si>
    <r>
      <rPr>
        <b/>
        <sz val="10"/>
        <rFont val="宋体"/>
        <charset val="134"/>
      </rPr>
      <t>少数股东权益</t>
    </r>
  </si>
  <si>
    <r>
      <rPr>
        <b/>
        <sz val="10"/>
        <rFont val="宋体"/>
        <charset val="134"/>
      </rPr>
      <t>实收资本</t>
    </r>
  </si>
  <si>
    <r>
      <rPr>
        <b/>
        <sz val="10"/>
        <rFont val="宋体"/>
        <charset val="134"/>
      </rPr>
      <t>其他权益工具</t>
    </r>
  </si>
  <si>
    <r>
      <rPr>
        <b/>
        <sz val="10"/>
        <rFont val="宋体"/>
        <charset val="134"/>
      </rPr>
      <t>资本公积</t>
    </r>
  </si>
  <si>
    <r>
      <rPr>
        <b/>
        <sz val="10"/>
        <rFont val="宋体"/>
        <charset val="134"/>
      </rPr>
      <t>减：库存股</t>
    </r>
  </si>
  <si>
    <r>
      <rPr>
        <b/>
        <sz val="10"/>
        <rFont val="宋体"/>
        <charset val="134"/>
      </rPr>
      <t>其他综合收益</t>
    </r>
  </si>
  <si>
    <r>
      <rPr>
        <b/>
        <sz val="10"/>
        <rFont val="宋体"/>
        <charset val="134"/>
      </rPr>
      <t>专项储备</t>
    </r>
  </si>
  <si>
    <r>
      <rPr>
        <b/>
        <sz val="10"/>
        <rFont val="宋体"/>
        <charset val="134"/>
      </rPr>
      <t>盈余公积</t>
    </r>
  </si>
  <si>
    <r>
      <rPr>
        <b/>
        <sz val="10"/>
        <rFont val="宋体"/>
        <charset val="134"/>
      </rPr>
      <t>未分配利润</t>
    </r>
  </si>
  <si>
    <r>
      <rPr>
        <b/>
        <sz val="10"/>
        <rFont val="宋体"/>
        <charset val="134"/>
      </rPr>
      <t>小计</t>
    </r>
  </si>
  <si>
    <r>
      <rPr>
        <b/>
        <sz val="10"/>
        <rFont val="宋体"/>
        <charset val="134"/>
      </rPr>
      <t>优先股</t>
    </r>
  </si>
  <si>
    <r>
      <rPr>
        <b/>
        <sz val="10"/>
        <rFont val="宋体"/>
        <charset val="134"/>
      </rPr>
      <t>永续债</t>
    </r>
  </si>
  <si>
    <r>
      <rPr>
        <b/>
        <sz val="10"/>
        <rFont val="宋体"/>
        <charset val="134"/>
      </rPr>
      <t>其他</t>
    </r>
  </si>
  <si>
    <r>
      <rPr>
        <b/>
        <sz val="10"/>
        <rFont val="宋体"/>
        <charset val="134"/>
      </rPr>
      <t>一、上年年末余额</t>
    </r>
  </si>
  <si>
    <r>
      <rPr>
        <sz val="10"/>
        <rFont val="宋体"/>
        <charset val="134"/>
      </rPr>
      <t>加：会计政策变更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</si>
  <si>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前期差错更正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</si>
  <si>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同一控制下企业合并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</si>
  <si>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其他</t>
    </r>
  </si>
  <si>
    <r>
      <rPr>
        <b/>
        <sz val="10"/>
        <rFont val="宋体"/>
        <charset val="134"/>
      </rPr>
      <t>二、本年年初余额</t>
    </r>
  </si>
  <si>
    <r>
      <rPr>
        <b/>
        <sz val="10"/>
        <rFont val="宋体"/>
        <charset val="134"/>
      </rPr>
      <t>三、本年增减变动金额</t>
    </r>
    <r>
      <rPr>
        <b/>
        <sz val="10"/>
        <rFont val="Arial Narrow"/>
        <charset val="134"/>
      </rPr>
      <t>(</t>
    </r>
    <r>
      <rPr>
        <b/>
        <sz val="10"/>
        <rFont val="宋体"/>
        <charset val="134"/>
      </rPr>
      <t>减少以</t>
    </r>
    <r>
      <rPr>
        <b/>
        <sz val="10"/>
        <rFont val="Arial Narrow"/>
        <charset val="134"/>
      </rPr>
      <t>“-”</t>
    </r>
    <r>
      <rPr>
        <b/>
        <sz val="10"/>
        <rFont val="宋体"/>
        <charset val="134"/>
      </rPr>
      <t>号填列</t>
    </r>
    <r>
      <rPr>
        <b/>
        <sz val="10"/>
        <rFont val="Arial Narrow"/>
        <charset val="134"/>
      </rPr>
      <t>)</t>
    </r>
  </si>
  <si>
    <r>
      <rPr>
        <sz val="10"/>
        <rFont val="宋体"/>
        <charset val="134"/>
      </rPr>
      <t>（一）综合收益总额</t>
    </r>
  </si>
  <si>
    <r>
      <rPr>
        <sz val="10"/>
        <rFont val="宋体"/>
        <charset val="134"/>
      </rPr>
      <t>（二）所有者投入和减少资本</t>
    </r>
  </si>
  <si>
    <r>
      <rPr>
        <sz val="10"/>
        <rFont val="Arial Narrow"/>
        <charset val="134"/>
      </rPr>
      <t xml:space="preserve">  1. </t>
    </r>
    <r>
      <rPr>
        <sz val="10"/>
        <rFont val="宋体"/>
        <charset val="134"/>
      </rPr>
      <t>所有者投入的普通股</t>
    </r>
  </si>
  <si>
    <r>
      <rPr>
        <sz val="10"/>
        <rFont val="Arial Narrow"/>
        <charset val="134"/>
      </rPr>
      <t xml:space="preserve">  2</t>
    </r>
    <r>
      <rPr>
        <sz val="10"/>
        <rFont val="宋体"/>
        <charset val="134"/>
      </rPr>
      <t>．其他权益工具持有者投入资本</t>
    </r>
  </si>
  <si>
    <r>
      <rPr>
        <sz val="10"/>
        <rFont val="Arial Narrow"/>
        <charset val="134"/>
      </rPr>
      <t xml:space="preserve">  3</t>
    </r>
    <r>
      <rPr>
        <sz val="10"/>
        <rFont val="宋体"/>
        <charset val="134"/>
      </rPr>
      <t>．股份支付计入所有者权益的金额</t>
    </r>
  </si>
  <si>
    <r>
      <rPr>
        <sz val="10"/>
        <rFont val="Arial Narrow"/>
        <charset val="134"/>
      </rPr>
      <t xml:space="preserve">  4</t>
    </r>
    <r>
      <rPr>
        <sz val="10"/>
        <rFont val="宋体"/>
        <charset val="134"/>
      </rPr>
      <t>．其他</t>
    </r>
  </si>
  <si>
    <r>
      <rPr>
        <sz val="10"/>
        <rFont val="宋体"/>
        <charset val="134"/>
      </rPr>
      <t>（三）利润分配</t>
    </r>
  </si>
  <si>
    <r>
      <rPr>
        <sz val="10"/>
        <rFont val="Arial Narrow"/>
        <charset val="134"/>
      </rPr>
      <t xml:space="preserve">  1</t>
    </r>
    <r>
      <rPr>
        <sz val="10"/>
        <rFont val="宋体"/>
        <charset val="134"/>
      </rPr>
      <t>．提取盈余公积</t>
    </r>
  </si>
  <si>
    <r>
      <rPr>
        <sz val="10"/>
        <rFont val="Arial Narrow"/>
        <charset val="134"/>
      </rPr>
      <t xml:space="preserve">  2</t>
    </r>
    <r>
      <rPr>
        <sz val="10"/>
        <rFont val="宋体"/>
        <charset val="134"/>
      </rPr>
      <t>．对所有者的分配</t>
    </r>
  </si>
  <si>
    <r>
      <rPr>
        <sz val="10"/>
        <rFont val="Arial Narrow"/>
        <charset val="134"/>
      </rPr>
      <t xml:space="preserve">  3</t>
    </r>
    <r>
      <rPr>
        <sz val="10"/>
        <rFont val="宋体"/>
        <charset val="134"/>
      </rPr>
      <t>．其他</t>
    </r>
  </si>
  <si>
    <r>
      <rPr>
        <sz val="10"/>
        <rFont val="宋体"/>
        <charset val="134"/>
      </rPr>
      <t>（四）所有者权益内部结转</t>
    </r>
  </si>
  <si>
    <r>
      <rPr>
        <sz val="10"/>
        <rFont val="Arial Narrow"/>
        <charset val="134"/>
      </rPr>
      <t xml:space="preserve">  1</t>
    </r>
    <r>
      <rPr>
        <sz val="10"/>
        <rFont val="宋体"/>
        <charset val="134"/>
      </rPr>
      <t>．资本公积转增资本</t>
    </r>
  </si>
  <si>
    <r>
      <rPr>
        <sz val="10"/>
        <rFont val="Arial Narrow"/>
        <charset val="134"/>
      </rPr>
      <t xml:space="preserve">  2</t>
    </r>
    <r>
      <rPr>
        <sz val="10"/>
        <rFont val="宋体"/>
        <charset val="134"/>
      </rPr>
      <t>．盈余公积转增资本</t>
    </r>
  </si>
  <si>
    <r>
      <rPr>
        <sz val="10"/>
        <rFont val="Arial Narrow"/>
        <charset val="134"/>
      </rPr>
      <t xml:space="preserve">  3</t>
    </r>
    <r>
      <rPr>
        <sz val="10"/>
        <rFont val="宋体"/>
        <charset val="134"/>
      </rPr>
      <t>．盈余公积弥补亏损</t>
    </r>
  </si>
  <si>
    <r>
      <rPr>
        <sz val="10"/>
        <rFont val="Arial Narrow"/>
        <charset val="134"/>
      </rPr>
      <t xml:space="preserve">  4</t>
    </r>
    <r>
      <rPr>
        <sz val="10"/>
        <rFont val="宋体"/>
        <charset val="134"/>
      </rPr>
      <t>．设定受益计划变动额结转留存收益</t>
    </r>
  </si>
  <si>
    <r>
      <rPr>
        <sz val="10"/>
        <rFont val="Arial Narrow"/>
        <charset val="134"/>
      </rPr>
      <t xml:space="preserve">  5. </t>
    </r>
    <r>
      <rPr>
        <sz val="10"/>
        <rFont val="宋体"/>
        <charset val="134"/>
      </rPr>
      <t>其他综合收益结转留存收益</t>
    </r>
  </si>
  <si>
    <r>
      <rPr>
        <sz val="10"/>
        <rFont val="Arial Narrow"/>
        <charset val="134"/>
      </rPr>
      <t xml:space="preserve">  6. </t>
    </r>
    <r>
      <rPr>
        <sz val="10"/>
        <rFont val="宋体"/>
        <charset val="134"/>
      </rPr>
      <t>其他</t>
    </r>
  </si>
  <si>
    <r>
      <rPr>
        <sz val="10"/>
        <rFont val="宋体"/>
        <charset val="134"/>
      </rPr>
      <t>（五）专项储备</t>
    </r>
  </si>
  <si>
    <r>
      <rPr>
        <sz val="10"/>
        <rFont val="Arial Narrow"/>
        <charset val="134"/>
      </rPr>
      <t xml:space="preserve">  1</t>
    </r>
    <r>
      <rPr>
        <sz val="10"/>
        <rFont val="宋体"/>
        <charset val="134"/>
      </rPr>
      <t>．本年提取</t>
    </r>
  </si>
  <si>
    <r>
      <rPr>
        <sz val="10"/>
        <rFont val="Arial Narrow"/>
        <charset val="134"/>
      </rPr>
      <t xml:space="preserve">  2</t>
    </r>
    <r>
      <rPr>
        <sz val="10"/>
        <rFont val="宋体"/>
        <charset val="134"/>
      </rPr>
      <t>．本年使用</t>
    </r>
  </si>
  <si>
    <r>
      <rPr>
        <sz val="10"/>
        <rFont val="宋体"/>
        <charset val="134"/>
      </rPr>
      <t>（六）其他</t>
    </r>
  </si>
  <si>
    <r>
      <rPr>
        <b/>
        <sz val="10"/>
        <rFont val="宋体"/>
        <charset val="134"/>
      </rPr>
      <t>四、本年年末余额</t>
    </r>
  </si>
  <si>
    <r>
      <rPr>
        <sz val="10"/>
        <rFont val="宋体"/>
        <charset val="134"/>
      </rPr>
      <t>法定代表人：</t>
    </r>
    <r>
      <rPr>
        <sz val="10"/>
        <rFont val="Arial Narrow"/>
        <charset val="134"/>
      </rPr>
      <t xml:space="preserve">                                                                                                                                                                  </t>
    </r>
  </si>
  <si>
    <r>
      <rPr>
        <sz val="10"/>
        <rFont val="宋体"/>
        <charset val="134"/>
      </rPr>
      <t>主管会计工作负责人：</t>
    </r>
  </si>
  <si>
    <r>
      <rPr>
        <b/>
        <sz val="16"/>
        <rFont val="宋体"/>
        <charset val="134"/>
      </rPr>
      <t>资产负债表</t>
    </r>
  </si>
  <si>
    <r>
      <rPr>
        <b/>
        <sz val="10"/>
        <rFont val="宋体"/>
        <charset val="134"/>
      </rPr>
      <t>资</t>
    </r>
    <r>
      <rPr>
        <b/>
        <sz val="10"/>
        <rFont val="Arial Narrow"/>
        <charset val="134"/>
      </rPr>
      <t xml:space="preserve">   </t>
    </r>
    <r>
      <rPr>
        <b/>
        <sz val="10"/>
        <rFont val="宋体"/>
        <charset val="134"/>
      </rPr>
      <t>产</t>
    </r>
  </si>
  <si>
    <r>
      <rPr>
        <b/>
        <sz val="10"/>
        <rFont val="宋体"/>
        <charset val="134"/>
      </rPr>
      <t>负债和所有者权益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</si>
  <si>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短期借款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</si>
  <si>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交易性金融负债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</si>
  <si>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应付票据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</si>
  <si>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应付账款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</si>
  <si>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预收款项</t>
    </r>
  </si>
  <si>
    <r>
      <rPr>
        <sz val="10"/>
        <rFont val="宋体"/>
        <charset val="128"/>
      </rPr>
      <t>附注十二、注释</t>
    </r>
    <r>
      <rPr>
        <sz val="10"/>
        <rFont val="Arial Narrow"/>
        <charset val="128"/>
      </rPr>
      <t>1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</si>
  <si>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应付职工薪酬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</si>
  <si>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应交税费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</si>
  <si>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其他应付款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</si>
  <si>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持有待售负债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</si>
  <si>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一年内到期的非流动负债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</si>
  <si>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其他流动负债</t>
    </r>
  </si>
  <si>
    <r>
      <rPr>
        <b/>
        <sz val="10"/>
        <rFont val="Arial Narrow"/>
        <charset val="134"/>
      </rPr>
      <t xml:space="preserve">    </t>
    </r>
    <r>
      <rPr>
        <b/>
        <sz val="10"/>
        <rFont val="宋体"/>
        <charset val="134"/>
      </rPr>
      <t>流动资产合计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</si>
  <si>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长期借款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</si>
  <si>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应付债券</t>
    </r>
  </si>
  <si>
    <r>
      <rPr>
        <sz val="10"/>
        <rFont val="宋体"/>
        <charset val="128"/>
      </rPr>
      <t>附注十二、注释</t>
    </r>
    <r>
      <rPr>
        <sz val="10"/>
        <rFont val="Arial Narrow"/>
        <charset val="128"/>
      </rPr>
      <t>2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</si>
  <si>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长期应付款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</si>
  <si>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长期应付职工薪酬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</si>
  <si>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预计负债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</si>
  <si>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递延收益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</si>
  <si>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递延所得税负债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</si>
  <si>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实收资本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</si>
  <si>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其他权益工具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</si>
  <si>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资本公积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</si>
  <si>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减：库存股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</si>
  <si>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其他综合收益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</si>
  <si>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专项储备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</si>
  <si>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盈余公积</t>
    </r>
  </si>
  <si>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未分配利润</t>
    </r>
  </si>
  <si>
    <r>
      <rPr>
        <sz val="10"/>
        <rFont val="宋体"/>
        <charset val="134"/>
      </rPr>
      <t>法定代表人：</t>
    </r>
  </si>
  <si>
    <r>
      <rPr>
        <b/>
        <sz val="16"/>
        <rFont val="宋体"/>
        <charset val="134"/>
      </rPr>
      <t>利润表</t>
    </r>
  </si>
  <si>
    <r>
      <rPr>
        <b/>
        <sz val="10"/>
        <rFont val="宋体"/>
        <charset val="134"/>
      </rPr>
      <t>项</t>
    </r>
    <r>
      <rPr>
        <b/>
        <sz val="10"/>
        <rFont val="Arial Narrow"/>
        <charset val="134"/>
      </rPr>
      <t xml:space="preserve">       </t>
    </r>
    <r>
      <rPr>
        <b/>
        <sz val="10"/>
        <rFont val="宋体"/>
        <charset val="134"/>
      </rPr>
      <t>目</t>
    </r>
  </si>
  <si>
    <r>
      <rPr>
        <b/>
        <sz val="10"/>
        <rFont val="宋体"/>
        <charset val="134"/>
      </rPr>
      <t>一、营业收入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</si>
  <si>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减：营业成本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</si>
  <si>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税金及附加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</si>
  <si>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销售费用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</si>
  <si>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管理费用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</si>
  <si>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研发费用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</si>
  <si>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财务费用</t>
    </r>
  </si>
  <si>
    <r>
      <rPr>
        <sz val="10"/>
        <rFont val="Arial Narrow"/>
        <charset val="134"/>
      </rPr>
      <t xml:space="preserve">          </t>
    </r>
    <r>
      <rPr>
        <sz val="10"/>
        <rFont val="宋体"/>
        <charset val="134"/>
      </rPr>
      <t>其中：利息费用</t>
    </r>
  </si>
  <si>
    <r>
      <rPr>
        <sz val="10"/>
        <rFont val="Arial Narrow"/>
        <charset val="134"/>
      </rPr>
      <t xml:space="preserve">                </t>
    </r>
    <r>
      <rPr>
        <sz val="10"/>
        <rFont val="宋体"/>
        <charset val="134"/>
      </rPr>
      <t>利息收入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</si>
  <si>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加：其他收益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</si>
  <si>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投资收益（损失以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</si>
  <si>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       </t>
    </r>
    <r>
      <rPr>
        <sz val="10"/>
        <rFont val="宋体"/>
        <charset val="134"/>
      </rPr>
      <t>其中：对联营企业和合营企业的投资收益</t>
    </r>
  </si>
  <si>
    <r>
      <rPr>
        <sz val="10"/>
        <rFont val="Arial Narrow"/>
        <charset val="134"/>
      </rPr>
      <t xml:space="preserve">               </t>
    </r>
    <r>
      <rPr>
        <sz val="10"/>
        <rFont val="宋体"/>
        <charset val="134"/>
      </rPr>
      <t>以摊余成本计量的金融资产终止确认收益</t>
    </r>
  </si>
  <si>
    <r>
      <rPr>
        <sz val="10"/>
        <rFont val="Arial Narrow"/>
        <charset val="134"/>
      </rPr>
      <t xml:space="preserve">       </t>
    </r>
    <r>
      <rPr>
        <sz val="10"/>
        <rFont val="宋体"/>
        <charset val="134"/>
      </rPr>
      <t>净敞口套期收益（损失以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</si>
  <si>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    </t>
    </r>
    <r>
      <rPr>
        <sz val="10"/>
        <rFont val="宋体"/>
        <charset val="134"/>
      </rPr>
      <t>公允价值变动收益（损失以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</si>
  <si>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    </t>
    </r>
    <r>
      <rPr>
        <sz val="10"/>
        <rFont val="宋体"/>
        <charset val="134"/>
      </rPr>
      <t>信用减值损失（损失以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</si>
  <si>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    </t>
    </r>
    <r>
      <rPr>
        <sz val="10"/>
        <rFont val="宋体"/>
        <charset val="134"/>
      </rPr>
      <t>资产减值损失（损失以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</si>
  <si>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    </t>
    </r>
    <r>
      <rPr>
        <sz val="10"/>
        <rFont val="宋体"/>
        <charset val="134"/>
      </rPr>
      <t>资产处置收益（损失以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</si>
  <si>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b/>
        <sz val="10"/>
        <rFont val="宋体"/>
        <charset val="134"/>
      </rPr>
      <t>二、营业利润（亏损以</t>
    </r>
    <r>
      <rPr>
        <b/>
        <sz val="10"/>
        <rFont val="Arial Narrow"/>
        <charset val="134"/>
      </rPr>
      <t>“-”</t>
    </r>
    <r>
      <rPr>
        <b/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</si>
  <si>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加：营业外收入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</si>
  <si>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减：营业外支出</t>
    </r>
  </si>
  <si>
    <r>
      <rPr>
        <b/>
        <sz val="10"/>
        <rFont val="宋体"/>
        <charset val="134"/>
      </rPr>
      <t>三、利润总额（亏损总额以</t>
    </r>
    <r>
      <rPr>
        <b/>
        <sz val="10"/>
        <rFont val="Arial Narrow"/>
        <charset val="134"/>
      </rPr>
      <t>“-”</t>
    </r>
    <r>
      <rPr>
        <b/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</si>
  <si>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 </t>
    </r>
    <r>
      <rPr>
        <sz val="10"/>
        <rFont val="宋体"/>
        <charset val="134"/>
      </rPr>
      <t>减：所得税费用</t>
    </r>
  </si>
  <si>
    <r>
      <rPr>
        <b/>
        <sz val="10"/>
        <rFont val="宋体"/>
        <charset val="134"/>
      </rPr>
      <t>四、净利润（净亏损以</t>
    </r>
    <r>
      <rPr>
        <b/>
        <sz val="10"/>
        <rFont val="Arial Narrow"/>
        <charset val="134"/>
      </rPr>
      <t>“-”</t>
    </r>
    <r>
      <rPr>
        <b/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</si>
  <si>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（一）持续经营净利润（净亏损以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</si>
  <si>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（二）终止经营净利润（净亏损以</t>
    </r>
    <r>
      <rPr>
        <sz val="10"/>
        <rFont val="Arial Narrow"/>
        <charset val="134"/>
      </rPr>
      <t>“-”</t>
    </r>
    <r>
      <rPr>
        <sz val="10"/>
        <rFont val="宋体"/>
        <charset val="134"/>
      </rPr>
      <t>号填列）</t>
    </r>
  </si>
  <si>
    <r>
      <rPr>
        <b/>
        <sz val="10"/>
        <rFont val="宋体"/>
        <charset val="134"/>
      </rPr>
      <t>五、其他综合收益的税后净额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</si>
  <si>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（一）不能重分类进损益的其他综合收益</t>
    </r>
  </si>
  <si>
    <r>
      <rPr>
        <sz val="10"/>
        <rFont val="Arial Narrow"/>
        <charset val="134"/>
      </rPr>
      <t xml:space="preserve">      1.</t>
    </r>
    <r>
      <rPr>
        <sz val="10"/>
        <rFont val="宋体"/>
        <charset val="134"/>
      </rPr>
      <t>重新计量设定受益计划变动额</t>
    </r>
  </si>
  <si>
    <r>
      <rPr>
        <sz val="10"/>
        <rFont val="Arial Narrow"/>
        <charset val="134"/>
      </rPr>
      <t xml:space="preserve">      2.</t>
    </r>
    <r>
      <rPr>
        <sz val="10"/>
        <rFont val="宋体"/>
        <charset val="134"/>
      </rPr>
      <t>权益法下不能转损益的其他综合收益</t>
    </r>
  </si>
  <si>
    <r>
      <rPr>
        <sz val="10"/>
        <rFont val="Arial Narrow"/>
        <charset val="134"/>
      </rPr>
      <t xml:space="preserve">      3.</t>
    </r>
    <r>
      <rPr>
        <sz val="10"/>
        <rFont val="宋体"/>
        <charset val="134"/>
      </rPr>
      <t>其他权益工具投资公允价值变动</t>
    </r>
  </si>
  <si>
    <r>
      <rPr>
        <sz val="10"/>
        <rFont val="Arial Narrow"/>
        <charset val="134"/>
      </rPr>
      <t xml:space="preserve">      4.</t>
    </r>
    <r>
      <rPr>
        <sz val="10"/>
        <rFont val="宋体"/>
        <charset val="134"/>
      </rPr>
      <t>企业自身信用风险公允价值变动</t>
    </r>
  </si>
  <si>
    <r>
      <rPr>
        <sz val="10"/>
        <rFont val="Arial Narrow"/>
        <charset val="134"/>
      </rPr>
      <t xml:space="preserve">      5.</t>
    </r>
    <r>
      <rPr>
        <sz val="10"/>
        <rFont val="宋体"/>
        <charset val="134"/>
      </rPr>
      <t>其他</t>
    </r>
  </si>
  <si>
    <r>
      <rPr>
        <sz val="10"/>
        <rFont val="Arial Narrow"/>
        <charset val="134"/>
      </rPr>
      <t xml:space="preserve">   </t>
    </r>
    <r>
      <rPr>
        <sz val="10"/>
        <rFont val="宋体"/>
        <charset val="134"/>
      </rPr>
      <t>（二）将重分类进损益的其他综合收益</t>
    </r>
  </si>
  <si>
    <r>
      <rPr>
        <sz val="10"/>
        <rFont val="Arial Narrow"/>
        <charset val="134"/>
      </rPr>
      <t xml:space="preserve">      1.</t>
    </r>
    <r>
      <rPr>
        <sz val="10"/>
        <rFont val="宋体"/>
        <charset val="134"/>
      </rPr>
      <t>权益法下可转损益的其他综合收益</t>
    </r>
  </si>
  <si>
    <r>
      <rPr>
        <sz val="10"/>
        <rFont val="Arial Narrow"/>
        <charset val="134"/>
      </rPr>
      <t xml:space="preserve">      2.</t>
    </r>
    <r>
      <rPr>
        <sz val="10"/>
        <rFont val="宋体"/>
        <charset val="134"/>
      </rPr>
      <t>其他债权投资公允价值变动</t>
    </r>
  </si>
  <si>
    <r>
      <rPr>
        <sz val="10"/>
        <rFont val="Arial Narrow"/>
        <charset val="134"/>
      </rPr>
      <t xml:space="preserve">      3.</t>
    </r>
    <r>
      <rPr>
        <sz val="10"/>
        <rFont val="宋体"/>
        <charset val="134"/>
      </rPr>
      <t>金融资产重分类计入其他综合收益的金额</t>
    </r>
  </si>
  <si>
    <r>
      <rPr>
        <sz val="10"/>
        <rFont val="Arial Narrow"/>
        <charset val="134"/>
      </rPr>
      <t xml:space="preserve">      4.</t>
    </r>
    <r>
      <rPr>
        <sz val="10"/>
        <rFont val="宋体"/>
        <charset val="134"/>
      </rPr>
      <t>其他债权投资信用减值准备</t>
    </r>
  </si>
  <si>
    <r>
      <rPr>
        <sz val="10"/>
        <rFont val="Arial Narrow"/>
        <charset val="134"/>
      </rPr>
      <t xml:space="preserve">      5.</t>
    </r>
    <r>
      <rPr>
        <sz val="10"/>
        <rFont val="宋体"/>
        <charset val="134"/>
      </rPr>
      <t>现金流量套期储备</t>
    </r>
  </si>
  <si>
    <r>
      <rPr>
        <sz val="10"/>
        <rFont val="Arial Narrow"/>
        <charset val="134"/>
      </rPr>
      <t xml:space="preserve">      6.</t>
    </r>
    <r>
      <rPr>
        <sz val="10"/>
        <rFont val="宋体"/>
        <charset val="134"/>
      </rPr>
      <t>外币财务报表折算差额</t>
    </r>
  </si>
  <si>
    <r>
      <rPr>
        <sz val="10"/>
        <rFont val="Arial Narrow"/>
        <charset val="134"/>
      </rPr>
      <t xml:space="preserve">      7.</t>
    </r>
    <r>
      <rPr>
        <sz val="10"/>
        <rFont val="宋体"/>
        <charset val="134"/>
      </rPr>
      <t>其他</t>
    </r>
  </si>
  <si>
    <r>
      <rPr>
        <b/>
        <sz val="10"/>
        <rFont val="宋体"/>
        <charset val="134"/>
      </rPr>
      <t>六、综合收益总额</t>
    </r>
  </si>
  <si>
    <r>
      <rPr>
        <sz val="10"/>
        <rFont val="宋体"/>
        <charset val="134"/>
      </rPr>
      <t>法定代表人：</t>
    </r>
    <r>
      <rPr>
        <sz val="10"/>
        <rFont val="Arial Narrow"/>
        <charset val="134"/>
      </rPr>
      <t xml:space="preserve">                            </t>
    </r>
    <r>
      <rPr>
        <sz val="10"/>
        <rFont val="宋体"/>
        <charset val="134"/>
      </rPr>
      <t>主管会计工作负责人：</t>
    </r>
    <r>
      <rPr>
        <sz val="10"/>
        <rFont val="Arial Narrow"/>
        <charset val="134"/>
      </rPr>
      <t xml:space="preserve">  </t>
    </r>
  </si>
  <si>
    <r>
      <rPr>
        <sz val="10"/>
        <rFont val="Arial Narrow"/>
        <charset val="134"/>
      </rPr>
      <t xml:space="preserve">        </t>
    </r>
    <r>
      <rPr>
        <sz val="10"/>
        <rFont val="宋体"/>
        <charset val="134"/>
      </rPr>
      <t>会计机构负责人：</t>
    </r>
  </si>
  <si>
    <r>
      <rPr>
        <sz val="10"/>
        <rFont val="宋体"/>
        <charset val="134"/>
      </rPr>
      <t>注：编制合并报表的公司，只需计算、列报合并口径的基本每股收益和稀释每股收益，无需计算、列报母公司口径的基本每股收益和稀释每股收益。</t>
    </r>
  </si>
  <si>
    <r>
      <rPr>
        <b/>
        <sz val="16"/>
        <rFont val="宋体"/>
        <charset val="134"/>
      </rPr>
      <t>现金流量表</t>
    </r>
  </si>
  <si>
    <r>
      <rPr>
        <b/>
        <sz val="10"/>
        <rFont val="Arial Narrow"/>
        <charset val="134"/>
      </rPr>
      <t xml:space="preserve"> </t>
    </r>
    <r>
      <rPr>
        <b/>
        <sz val="10"/>
        <rFont val="宋体"/>
        <charset val="134"/>
      </rPr>
      <t>项</t>
    </r>
    <r>
      <rPr>
        <b/>
        <sz val="10"/>
        <rFont val="Arial Narrow"/>
        <charset val="134"/>
      </rPr>
      <t xml:space="preserve">       </t>
    </r>
    <r>
      <rPr>
        <b/>
        <sz val="10"/>
        <rFont val="宋体"/>
        <charset val="134"/>
      </rPr>
      <t>目</t>
    </r>
  </si>
  <si>
    <r>
      <rPr>
        <sz val="10"/>
        <rFont val="宋体"/>
        <charset val="134"/>
      </rPr>
      <t>　　经营活动现金流出小计</t>
    </r>
  </si>
  <si>
    <r>
      <rPr>
        <sz val="10"/>
        <rFont val="宋体"/>
        <charset val="134"/>
      </rPr>
      <t>　　投资活动现金流入小计</t>
    </r>
  </si>
  <si>
    <r>
      <rPr>
        <sz val="10"/>
        <rFont val="宋体"/>
        <charset val="134"/>
      </rPr>
      <t>　　投资活动现金流出小计</t>
    </r>
  </si>
  <si>
    <r>
      <rPr>
        <sz val="10"/>
        <rFont val="宋体"/>
        <charset val="134"/>
      </rPr>
      <t>法定代表人：</t>
    </r>
    <r>
      <rPr>
        <sz val="10"/>
        <rFont val="Arial Narrow"/>
        <charset val="134"/>
      </rPr>
      <t xml:space="preserve">                       </t>
    </r>
    <r>
      <rPr>
        <sz val="10"/>
        <rFont val="宋体"/>
        <charset val="134"/>
      </rPr>
      <t>主管会计工作负责人：</t>
    </r>
    <r>
      <rPr>
        <sz val="10"/>
        <rFont val="Arial Narrow"/>
        <charset val="134"/>
      </rPr>
      <t xml:space="preserve">                      </t>
    </r>
    <r>
      <rPr>
        <sz val="10"/>
        <rFont val="宋体"/>
        <charset val="134"/>
      </rPr>
      <t>会计机构负责人：</t>
    </r>
  </si>
  <si>
    <r>
      <rPr>
        <sz val="10"/>
        <color rgb="FFFF0000"/>
        <rFont val="宋体"/>
        <charset val="134"/>
      </rPr>
      <t>受限</t>
    </r>
  </si>
  <si>
    <r>
      <rPr>
        <b/>
        <sz val="16"/>
        <rFont val="宋体"/>
        <charset val="134"/>
      </rPr>
      <t>所有者权益变动表</t>
    </r>
  </si>
  <si>
    <r>
      <rPr>
        <b/>
        <sz val="10"/>
        <rFont val="宋体"/>
        <charset val="134"/>
      </rPr>
      <t>项目</t>
    </r>
  </si>
  <si>
    <r>
      <rPr>
        <sz val="10"/>
        <rFont val="宋体"/>
        <charset val="134"/>
      </rPr>
      <t>加：</t>
    </r>
    <r>
      <rPr>
        <sz val="10"/>
        <rFont val="Arial Narrow"/>
        <charset val="134"/>
      </rPr>
      <t xml:space="preserve"> </t>
    </r>
    <r>
      <rPr>
        <sz val="10"/>
        <rFont val="宋体"/>
        <charset val="134"/>
      </rPr>
      <t>会计政策变更</t>
    </r>
  </si>
  <si>
    <r>
      <rPr>
        <sz val="10"/>
        <rFont val="Arial Narrow"/>
        <charset val="134"/>
      </rPr>
      <t xml:space="preserve">     </t>
    </r>
    <r>
      <rPr>
        <sz val="10"/>
        <rFont val="宋体"/>
        <charset val="134"/>
      </rPr>
      <t>前期差错更正</t>
    </r>
  </si>
  <si>
    <r>
      <rPr>
        <sz val="10"/>
        <rFont val="Arial Narrow"/>
        <charset val="134"/>
      </rPr>
      <t xml:space="preserve">     </t>
    </r>
    <r>
      <rPr>
        <sz val="10"/>
        <rFont val="宋体"/>
        <charset val="134"/>
      </rPr>
      <t>其他</t>
    </r>
  </si>
  <si>
    <r>
      <rPr>
        <sz val="10"/>
        <rFont val="Arial Narrow"/>
        <charset val="134"/>
      </rPr>
      <t xml:space="preserve">  5.</t>
    </r>
    <r>
      <rPr>
        <sz val="10"/>
        <rFont val="宋体"/>
        <charset val="134"/>
      </rPr>
      <t>其他综合收益结转留存收益</t>
    </r>
  </si>
  <si>
    <r>
      <rPr>
        <sz val="10"/>
        <rFont val="宋体"/>
        <charset val="134"/>
      </rPr>
      <t>会计机构负责人：</t>
    </r>
    <r>
      <rPr>
        <sz val="10"/>
        <rFont val="Arial Narrow"/>
        <charset val="134"/>
      </rPr>
      <t xml:space="preserve">   </t>
    </r>
  </si>
  <si>
    <r>
      <rPr>
        <sz val="10"/>
        <rFont val="宋体"/>
        <charset val="134"/>
      </rPr>
      <t>期初数</t>
    </r>
  </si>
  <si>
    <r>
      <rPr>
        <sz val="9"/>
        <rFont val="宋体"/>
        <charset val="134"/>
      </rPr>
      <t>期末数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</si>
</sst>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"/>
    <numFmt numFmtId="177" formatCode="&quot;$&quot;#,##0;\-&quot;$&quot;#,##0"/>
    <numFmt numFmtId="178" formatCode="0.000000"/>
    <numFmt numFmtId="179" formatCode="0.00000000"/>
    <numFmt numFmtId="180" formatCode="#,##0.00_ "/>
    <numFmt numFmtId="181" formatCode="0.00_);[Red]\(0.00\)"/>
    <numFmt numFmtId="182" formatCode="_ * #,##0.00_ ;_ * \-#,##0.00_ ;_ * &quot;&quot;??_ ;_ @_ "/>
    <numFmt numFmtId="183" formatCode="[$-F800]dddd\,\ mmmm\ dd\,\ yyyy"/>
    <numFmt numFmtId="184" formatCode="_ \¥* #,##0.00000_ ;_ \¥* \-#,##0.00000_ ;_ \¥* &quot;-&quot;?????_ ;_ @_ "/>
    <numFmt numFmtId="185" formatCode="yyyy&quot;年&quot;m&quot;月&quot;d&quot;日&quot;;@"/>
  </numFmts>
  <fonts count="49">
    <font>
      <sz val="12"/>
      <name val="宋体"/>
      <charset val="134"/>
    </font>
    <font>
      <b/>
      <sz val="9"/>
      <name val="Arial Narrow"/>
      <charset val="134"/>
    </font>
    <font>
      <sz val="9"/>
      <name val="Arial Narrow"/>
      <charset val="134"/>
    </font>
    <font>
      <sz val="10"/>
      <name val="Arial Narrow"/>
      <charset val="134"/>
    </font>
    <font>
      <b/>
      <sz val="16"/>
      <name val="Arial Narrow"/>
      <charset val="134"/>
    </font>
    <font>
      <b/>
      <sz val="10"/>
      <name val="Arial Narrow"/>
      <charset val="134"/>
    </font>
    <font>
      <sz val="10"/>
      <color rgb="FFFF0000"/>
      <name val="Arial Narrow"/>
      <charset val="134"/>
    </font>
    <font>
      <sz val="20"/>
      <name val="Arial Narrow"/>
      <charset val="134"/>
    </font>
    <font>
      <sz val="10"/>
      <name val="Arial Narrow"/>
      <charset val="128"/>
    </font>
    <font>
      <b/>
      <sz val="12"/>
      <name val="Arial Narrow"/>
      <charset val="134"/>
    </font>
    <font>
      <sz val="12"/>
      <name val="Arial Narrow"/>
      <charset val="134"/>
    </font>
    <font>
      <sz val="12"/>
      <color rgb="FFFF0000"/>
      <name val="Arial Narro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color theme="1"/>
      <name val="Arial Narrow"/>
      <charset val="134"/>
    </font>
    <font>
      <sz val="10"/>
      <color indexed="8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1"/>
      <name val="蹈框"/>
      <charset val="134"/>
    </font>
    <font>
      <sz val="10"/>
      <name val="Helv"/>
      <charset val="134"/>
    </font>
    <font>
      <sz val="12"/>
      <name val="標楷體"/>
      <charset val="134"/>
    </font>
    <font>
      <sz val="11"/>
      <name val="ＭＳ Ｐゴシック"/>
      <charset val="134"/>
    </font>
    <font>
      <sz val="12"/>
      <name val="바탕체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sz val="10"/>
      <name val="宋体"/>
      <charset val="128"/>
    </font>
    <font>
      <sz val="10"/>
      <color rgb="FFFF0000"/>
      <name val="宋体"/>
      <charset val="134"/>
    </font>
    <font>
      <b/>
      <sz val="16"/>
      <name val="宋体"/>
      <charset val="134"/>
    </font>
    <font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2">
    <xf numFmtId="0" fontId="0" fillId="0" borderId="0"/>
    <xf numFmtId="43" fontId="0" fillId="0" borderId="0" applyFont="0" applyFill="0" applyBorder="0" applyAlignment="0" applyProtection="0"/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32" applyNumberFormat="0" applyAlignment="0" applyProtection="0">
      <alignment vertical="center"/>
    </xf>
    <xf numFmtId="0" fontId="22" fillId="6" borderId="33" applyNumberFormat="0" applyAlignment="0" applyProtection="0">
      <alignment vertical="center"/>
    </xf>
    <xf numFmtId="0" fontId="23" fillId="6" borderId="32" applyNumberFormat="0" applyAlignment="0" applyProtection="0">
      <alignment vertical="center"/>
    </xf>
    <xf numFmtId="0" fontId="24" fillId="7" borderId="34" applyNumberFormat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>
      <alignment vertical="center"/>
    </xf>
    <xf numFmtId="0" fontId="0" fillId="0" borderId="0"/>
    <xf numFmtId="0" fontId="32" fillId="0" borderId="0"/>
    <xf numFmtId="0" fontId="34" fillId="0" borderId="0" applyNumberFormat="0" applyFill="0" applyBorder="0" applyAlignment="0" applyProtection="0">
      <alignment vertical="top"/>
    </xf>
    <xf numFmtId="0" fontId="34" fillId="0" borderId="0" applyNumberFormat="0" applyFill="0" applyBorder="0" applyAlignment="0" applyProtection="0">
      <alignment vertical="top"/>
    </xf>
    <xf numFmtId="176" fontId="35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36" fillId="0" borderId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>
      <alignment vertical="center"/>
    </xf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/>
  </cellStyleXfs>
  <cellXfs count="274">
    <xf numFmtId="0" fontId="0" fillId="0" borderId="0" xfId="0"/>
    <xf numFmtId="0" fontId="1" fillId="0" borderId="0" xfId="57" applyFont="1" applyAlignment="1">
      <alignment horizontal="center" vertical="center"/>
    </xf>
    <xf numFmtId="0" fontId="2" fillId="0" borderId="0" xfId="57" applyFont="1"/>
    <xf numFmtId="0" fontId="3" fillId="2" borderId="0" xfId="57" applyFont="1" applyFill="1"/>
    <xf numFmtId="0" fontId="3" fillId="0" borderId="0" xfId="57" applyFont="1"/>
    <xf numFmtId="43" fontId="3" fillId="0" borderId="0" xfId="1" applyFont="1" applyAlignment="1">
      <alignment horizontal="center"/>
    </xf>
    <xf numFmtId="0" fontId="4" fillId="0" borderId="0" xfId="57" applyFont="1" applyAlignment="1">
      <alignment horizontal="center"/>
    </xf>
    <xf numFmtId="0" fontId="3" fillId="0" borderId="0" xfId="57" applyFont="1" applyAlignment="1">
      <alignment horizontal="center" vertical="center"/>
    </xf>
    <xf numFmtId="0" fontId="5" fillId="0" borderId="1" xfId="95" applyFont="1" applyBorder="1"/>
    <xf numFmtId="0" fontId="5" fillId="0" borderId="2" xfId="57" applyFont="1" applyBorder="1" applyAlignment="1">
      <alignment horizontal="center" vertical="center"/>
    </xf>
    <xf numFmtId="43" fontId="5" fillId="0" borderId="3" xfId="1" applyFont="1" applyBorder="1" applyAlignment="1">
      <alignment horizontal="center" vertical="center"/>
    </xf>
    <xf numFmtId="43" fontId="5" fillId="0" borderId="4" xfId="1" applyFont="1" applyBorder="1" applyAlignment="1">
      <alignment horizontal="center" vertical="center"/>
    </xf>
    <xf numFmtId="0" fontId="5" fillId="0" borderId="5" xfId="57" applyFont="1" applyBorder="1" applyAlignment="1">
      <alignment horizontal="center" vertical="center"/>
    </xf>
    <xf numFmtId="0" fontId="5" fillId="0" borderId="6" xfId="95" applyFont="1" applyBorder="1" applyAlignment="1">
      <alignment horizontal="center" vertical="center" wrapText="1"/>
    </xf>
    <xf numFmtId="0" fontId="5" fillId="0" borderId="7" xfId="95" applyFont="1" applyBorder="1" applyAlignment="1">
      <alignment horizontal="center" vertical="center" wrapText="1"/>
    </xf>
    <xf numFmtId="0" fontId="5" fillId="0" borderId="8" xfId="57" applyFont="1" applyBorder="1" applyAlignment="1">
      <alignment horizontal="center" vertical="center"/>
    </xf>
    <xf numFmtId="0" fontId="5" fillId="0" borderId="9" xfId="95" applyFont="1" applyBorder="1" applyAlignment="1">
      <alignment horizontal="center" vertical="center" wrapText="1"/>
    </xf>
    <xf numFmtId="0" fontId="5" fillId="0" borderId="10" xfId="57" applyFont="1" applyBorder="1" applyAlignment="1">
      <alignment vertical="center"/>
    </xf>
    <xf numFmtId="43" fontId="5" fillId="0" borderId="7" xfId="1" applyFont="1" applyBorder="1" applyAlignment="1">
      <alignment vertical="center"/>
    </xf>
    <xf numFmtId="0" fontId="3" fillId="0" borderId="10" xfId="57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180" fontId="3" fillId="0" borderId="7" xfId="1" applyNumberFormat="1" applyFont="1" applyBorder="1" applyAlignment="1">
      <alignment vertical="center"/>
    </xf>
    <xf numFmtId="180" fontId="5" fillId="0" borderId="7" xfId="1" applyNumberFormat="1" applyFont="1" applyBorder="1" applyAlignment="1">
      <alignment vertical="center"/>
    </xf>
    <xf numFmtId="181" fontId="5" fillId="0" borderId="7" xfId="1" applyNumberFormat="1" applyFont="1" applyBorder="1" applyAlignment="1">
      <alignment vertical="center"/>
    </xf>
    <xf numFmtId="181" fontId="3" fillId="0" borderId="7" xfId="1" applyNumberFormat="1" applyFont="1" applyBorder="1" applyAlignment="1">
      <alignment vertical="center"/>
    </xf>
    <xf numFmtId="0" fontId="3" fillId="0" borderId="10" xfId="95" applyFont="1" applyBorder="1" applyAlignment="1">
      <alignment vertical="center" wrapText="1"/>
    </xf>
    <xf numFmtId="0" fontId="3" fillId="0" borderId="11" xfId="57" applyFont="1" applyBorder="1" applyAlignment="1">
      <alignment vertical="center"/>
    </xf>
    <xf numFmtId="0" fontId="5" fillId="0" borderId="12" xfId="57" applyFont="1" applyBorder="1" applyAlignment="1">
      <alignment vertical="center"/>
    </xf>
    <xf numFmtId="43" fontId="5" fillId="0" borderId="13" xfId="1" applyFont="1" applyBorder="1" applyAlignment="1">
      <alignment vertical="center"/>
    </xf>
    <xf numFmtId="180" fontId="5" fillId="0" borderId="13" xfId="1" applyNumberFormat="1" applyFont="1" applyBorder="1" applyAlignment="1">
      <alignment vertical="center"/>
    </xf>
    <xf numFmtId="0" fontId="3" fillId="0" borderId="14" xfId="56" applyFont="1" applyBorder="1"/>
    <xf numFmtId="43" fontId="3" fillId="0" borderId="14" xfId="1" applyFont="1" applyFill="1" applyBorder="1" applyAlignment="1">
      <alignment horizontal="center"/>
    </xf>
    <xf numFmtId="43" fontId="3" fillId="0" borderId="14" xfId="1" applyFont="1" applyFill="1" applyBorder="1" applyAlignment="1"/>
    <xf numFmtId="0" fontId="3" fillId="0" borderId="1" xfId="57" applyFont="1" applyBorder="1"/>
    <xf numFmtId="43" fontId="3" fillId="0" borderId="1" xfId="1" applyFont="1" applyBorder="1" applyAlignment="1">
      <alignment horizontal="center"/>
    </xf>
    <xf numFmtId="43" fontId="3" fillId="0" borderId="0" xfId="1" applyFont="1" applyBorder="1" applyAlignment="1">
      <alignment horizontal="right"/>
    </xf>
    <xf numFmtId="43" fontId="5" fillId="0" borderId="15" xfId="1" applyFont="1" applyBorder="1" applyAlignment="1">
      <alignment horizontal="center" vertical="center"/>
    </xf>
    <xf numFmtId="43" fontId="5" fillId="0" borderId="16" xfId="1" applyFont="1" applyBorder="1" applyAlignment="1">
      <alignment horizontal="center" vertical="center"/>
    </xf>
    <xf numFmtId="43" fontId="5" fillId="0" borderId="17" xfId="1" applyFont="1" applyBorder="1" applyAlignment="1">
      <alignment horizontal="center" vertical="center"/>
    </xf>
    <xf numFmtId="180" fontId="5" fillId="0" borderId="18" xfId="1" applyNumberFormat="1" applyFont="1" applyBorder="1" applyAlignment="1">
      <alignment vertical="center"/>
    </xf>
    <xf numFmtId="43" fontId="5" fillId="0" borderId="18" xfId="1" applyFont="1" applyBorder="1" applyAlignment="1">
      <alignment vertical="center"/>
    </xf>
    <xf numFmtId="181" fontId="5" fillId="0" borderId="18" xfId="1" applyNumberFormat="1" applyFont="1" applyBorder="1" applyAlignment="1">
      <alignment vertical="center"/>
    </xf>
    <xf numFmtId="181" fontId="5" fillId="0" borderId="13" xfId="1" applyNumberFormat="1" applyFont="1" applyBorder="1" applyAlignment="1">
      <alignment vertical="center"/>
    </xf>
    <xf numFmtId="0" fontId="3" fillId="0" borderId="0" xfId="56" applyFont="1" applyAlignment="1">
      <alignment horizontal="center"/>
    </xf>
    <xf numFmtId="0" fontId="2" fillId="0" borderId="0" xfId="51" applyFont="1"/>
    <xf numFmtId="43" fontId="3" fillId="2" borderId="0" xfId="1" applyFont="1" applyFill="1" applyAlignment="1">
      <alignment horizontal="center"/>
    </xf>
    <xf numFmtId="43" fontId="3" fillId="2" borderId="0" xfId="1" applyFont="1" applyFill="1"/>
    <xf numFmtId="0" fontId="5" fillId="0" borderId="0" xfId="50" applyFont="1"/>
    <xf numFmtId="0" fontId="3" fillId="0" borderId="0" xfId="50" applyFont="1"/>
    <xf numFmtId="0" fontId="4" fillId="0" borderId="0" xfId="50" applyFont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Alignment="1">
      <alignment horizontal="left"/>
    </xf>
    <xf numFmtId="0" fontId="3" fillId="0" borderId="0" xfId="50" applyFont="1" applyAlignment="1">
      <alignment horizontal="right"/>
    </xf>
    <xf numFmtId="0" fontId="5" fillId="0" borderId="19" xfId="50" applyFont="1" applyBorder="1" applyAlignment="1">
      <alignment horizontal="center" vertical="center"/>
    </xf>
    <xf numFmtId="0" fontId="5" fillId="0" borderId="20" xfId="5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50" applyFont="1" applyBorder="1" applyAlignment="1">
      <alignment vertical="center"/>
    </xf>
    <xf numFmtId="0" fontId="5" fillId="0" borderId="7" xfId="50" applyFont="1" applyBorder="1" applyAlignment="1">
      <alignment horizontal="center" vertical="center"/>
    </xf>
    <xf numFmtId="43" fontId="3" fillId="0" borderId="7" xfId="1" applyFont="1" applyBorder="1" applyAlignment="1">
      <alignment horizontal="right" vertical="center"/>
    </xf>
    <xf numFmtId="43" fontId="3" fillId="0" borderId="18" xfId="1" applyFont="1" applyBorder="1" applyAlignment="1">
      <alignment horizontal="right" vertical="center"/>
    </xf>
    <xf numFmtId="0" fontId="3" fillId="0" borderId="10" xfId="50" applyFont="1" applyBorder="1" applyAlignment="1">
      <alignment vertical="center"/>
    </xf>
    <xf numFmtId="0" fontId="3" fillId="0" borderId="7" xfId="50" applyFont="1" applyBorder="1" applyAlignment="1">
      <alignment vertical="center"/>
    </xf>
    <xf numFmtId="43" fontId="3" fillId="0" borderId="7" xfId="1" applyFont="1" applyFill="1" applyBorder="1" applyAlignment="1">
      <alignment horizontal="right" vertical="center"/>
    </xf>
    <xf numFmtId="0" fontId="3" fillId="0" borderId="7" xfId="50" applyFont="1" applyBorder="1" applyAlignment="1">
      <alignment horizontal="center" vertical="center"/>
    </xf>
    <xf numFmtId="0" fontId="3" fillId="0" borderId="10" xfId="50" applyFont="1" applyBorder="1" applyAlignment="1">
      <alignment horizontal="center" vertical="center"/>
    </xf>
    <xf numFmtId="0" fontId="5" fillId="0" borderId="10" xfId="50" applyFont="1" applyBorder="1" applyAlignment="1">
      <alignment horizontal="center" vertical="center"/>
    </xf>
    <xf numFmtId="43" fontId="5" fillId="0" borderId="7" xfId="1" applyFont="1" applyBorder="1" applyAlignment="1">
      <alignment horizontal="right" vertical="center"/>
    </xf>
    <xf numFmtId="43" fontId="5" fillId="0" borderId="18" xfId="1" applyFont="1" applyBorder="1" applyAlignment="1">
      <alignment horizontal="right" vertical="center"/>
    </xf>
    <xf numFmtId="0" fontId="5" fillId="0" borderId="10" xfId="50" applyFont="1" applyBorder="1" applyAlignment="1">
      <alignment vertical="center"/>
    </xf>
    <xf numFmtId="180" fontId="3" fillId="0" borderId="7" xfId="0" applyNumberFormat="1" applyFont="1" applyBorder="1" applyAlignment="1">
      <alignment horizontal="right" vertical="center"/>
    </xf>
    <xf numFmtId="180" fontId="3" fillId="0" borderId="18" xfId="1" applyNumberFormat="1" applyFont="1" applyBorder="1" applyAlignment="1">
      <alignment horizontal="right" vertical="center"/>
    </xf>
    <xf numFmtId="0" fontId="5" fillId="0" borderId="7" xfId="50" applyFont="1" applyBorder="1" applyAlignment="1">
      <alignment vertical="center"/>
    </xf>
    <xf numFmtId="0" fontId="5" fillId="0" borderId="12" xfId="50" applyFont="1" applyBorder="1" applyAlignment="1">
      <alignment vertical="center"/>
    </xf>
    <xf numFmtId="0" fontId="3" fillId="0" borderId="13" xfId="50" applyFont="1" applyBorder="1" applyAlignment="1">
      <alignment horizontal="center" vertical="center"/>
    </xf>
    <xf numFmtId="43" fontId="5" fillId="0" borderId="13" xfId="1" applyFont="1" applyBorder="1" applyAlignment="1">
      <alignment horizontal="right" vertical="center"/>
    </xf>
    <xf numFmtId="43" fontId="5" fillId="0" borderId="23" xfId="1" applyFont="1" applyBorder="1" applyAlignment="1">
      <alignment horizontal="right" vertical="center"/>
    </xf>
    <xf numFmtId="0" fontId="3" fillId="0" borderId="14" xfId="50" applyFont="1" applyBorder="1" applyAlignment="1">
      <alignment horizontal="left"/>
    </xf>
    <xf numFmtId="0" fontId="3" fillId="0" borderId="0" xfId="50" applyFont="1" applyAlignment="1">
      <alignment horizontal="center"/>
    </xf>
    <xf numFmtId="43" fontId="3" fillId="0" borderId="0" xfId="50" applyNumberFormat="1" applyFont="1"/>
    <xf numFmtId="0" fontId="6" fillId="0" borderId="0" xfId="50" applyFont="1"/>
    <xf numFmtId="0" fontId="7" fillId="0" borderId="0" xfId="50" applyFont="1" applyAlignment="1">
      <alignment vertical="top"/>
    </xf>
    <xf numFmtId="0" fontId="2" fillId="0" borderId="0" xfId="50" applyFont="1"/>
    <xf numFmtId="0" fontId="2" fillId="0" borderId="0" xfId="50" applyFont="1" applyAlignment="1">
      <alignment horizontal="center" vertical="center"/>
    </xf>
    <xf numFmtId="0" fontId="1" fillId="0" borderId="0" xfId="50" applyFont="1"/>
    <xf numFmtId="0" fontId="2" fillId="0" borderId="0" xfId="0" applyFont="1"/>
    <xf numFmtId="0" fontId="4" fillId="0" borderId="0" xfId="50" applyFont="1" applyAlignment="1">
      <alignment horizontal="center" vertical="top"/>
    </xf>
    <xf numFmtId="0" fontId="3" fillId="0" borderId="1" xfId="50" applyFont="1" applyBorder="1"/>
    <xf numFmtId="0" fontId="3" fillId="0" borderId="1" xfId="5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180" fontId="3" fillId="0" borderId="18" xfId="1" applyNumberFormat="1" applyFont="1" applyFill="1" applyBorder="1" applyAlignment="1">
      <alignment horizontal="right" vertical="center"/>
    </xf>
    <xf numFmtId="43" fontId="1" fillId="0" borderId="0" xfId="50" applyNumberFormat="1" applyFont="1"/>
    <xf numFmtId="0" fontId="3" fillId="0" borderId="10" xfId="50" applyFont="1" applyBorder="1" applyAlignment="1">
      <alignment horizontal="left" vertical="center"/>
    </xf>
    <xf numFmtId="0" fontId="3" fillId="0" borderId="10" xfId="50" applyFont="1" applyBorder="1" applyAlignment="1">
      <alignment horizontal="left" vertical="center" wrapText="1"/>
    </xf>
    <xf numFmtId="180" fontId="5" fillId="0" borderId="7" xfId="1" applyNumberFormat="1" applyFont="1" applyFill="1" applyBorder="1" applyAlignment="1">
      <alignment horizontal="right" vertical="center"/>
    </xf>
    <xf numFmtId="180" fontId="5" fillId="0" borderId="18" xfId="1" applyNumberFormat="1" applyFont="1" applyFill="1" applyBorder="1" applyAlignment="1">
      <alignment horizontal="right" vertical="center"/>
    </xf>
    <xf numFmtId="0" fontId="5" fillId="0" borderId="11" xfId="5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5" fillId="0" borderId="24" xfId="50" applyFont="1" applyBorder="1" applyAlignment="1">
      <alignment horizontal="center" vertical="center"/>
    </xf>
    <xf numFmtId="180" fontId="3" fillId="0" borderId="18" xfId="0" applyNumberFormat="1" applyFont="1" applyBorder="1" applyAlignment="1">
      <alignment horizontal="right" vertical="center"/>
    </xf>
    <xf numFmtId="0" fontId="5" fillId="0" borderId="8" xfId="50" applyFont="1" applyBorder="1" applyAlignment="1">
      <alignment vertical="center"/>
    </xf>
    <xf numFmtId="0" fontId="3" fillId="0" borderId="10" xfId="95" applyFont="1" applyBorder="1" applyAlignment="1">
      <alignment vertical="center"/>
    </xf>
    <xf numFmtId="0" fontId="3" fillId="0" borderId="25" xfId="50" applyFont="1" applyBorder="1" applyAlignment="1">
      <alignment horizontal="center" vertical="center"/>
    </xf>
    <xf numFmtId="180" fontId="3" fillId="0" borderId="25" xfId="1" applyNumberFormat="1" applyFont="1" applyFill="1" applyBorder="1" applyAlignment="1">
      <alignment horizontal="right" vertical="center"/>
    </xf>
    <xf numFmtId="180" fontId="5" fillId="0" borderId="13" xfId="1" applyNumberFormat="1" applyFont="1" applyFill="1" applyBorder="1" applyAlignment="1">
      <alignment horizontal="right" vertical="center"/>
    </xf>
    <xf numFmtId="180" fontId="5" fillId="0" borderId="23" xfId="1" applyNumberFormat="1" applyFont="1" applyFill="1" applyBorder="1" applyAlignment="1">
      <alignment horizontal="right" vertical="center"/>
    </xf>
    <xf numFmtId="0" fontId="3" fillId="0" borderId="0" xfId="0" applyFont="1"/>
    <xf numFmtId="43" fontId="3" fillId="0" borderId="0" xfId="1" applyFont="1" applyFill="1" applyBorder="1" applyAlignment="1"/>
    <xf numFmtId="10" fontId="2" fillId="0" borderId="0" xfId="0" applyNumberFormat="1" applyFont="1"/>
    <xf numFmtId="0" fontId="3" fillId="0" borderId="0" xfId="50" applyFont="1" applyAlignment="1">
      <alignment vertical="center" wrapText="1"/>
    </xf>
    <xf numFmtId="43" fontId="2" fillId="0" borderId="0" xfId="69" applyFont="1" applyFill="1" applyBorder="1" applyAlignment="1">
      <alignment horizontal="left"/>
    </xf>
    <xf numFmtId="0" fontId="2" fillId="0" borderId="0" xfId="50" applyFont="1" applyAlignment="1">
      <alignment horizontal="center" vertical="top"/>
    </xf>
    <xf numFmtId="0" fontId="2" fillId="0" borderId="0" xfId="50" applyFont="1" applyAlignment="1">
      <alignment vertical="top"/>
    </xf>
    <xf numFmtId="0" fontId="2" fillId="0" borderId="0" xfId="50" applyFont="1" applyAlignment="1">
      <alignment horizontal="center"/>
    </xf>
    <xf numFmtId="43" fontId="2" fillId="0" borderId="0" xfId="69" applyFont="1" applyFill="1" applyAlignment="1">
      <alignment wrapText="1"/>
    </xf>
    <xf numFmtId="43" fontId="2" fillId="0" borderId="0" xfId="69" applyFont="1" applyFill="1"/>
    <xf numFmtId="31" fontId="3" fillId="0" borderId="0" xfId="50" applyNumberFormat="1" applyFont="1" applyAlignment="1">
      <alignment horizontal="center" vertical="center"/>
    </xf>
    <xf numFmtId="0" fontId="3" fillId="0" borderId="0" xfId="50" applyFont="1" applyAlignment="1">
      <alignment vertical="top"/>
    </xf>
    <xf numFmtId="31" fontId="5" fillId="0" borderId="1" xfId="50" applyNumberFormat="1" applyFont="1" applyBorder="1"/>
    <xf numFmtId="0" fontId="3" fillId="0" borderId="1" xfId="50" applyFont="1" applyBorder="1" applyAlignment="1">
      <alignment vertical="top"/>
    </xf>
    <xf numFmtId="31" fontId="3" fillId="0" borderId="0" xfId="69" applyNumberFormat="1" applyFont="1" applyFill="1" applyAlignment="1">
      <alignment vertical="top"/>
    </xf>
    <xf numFmtId="31" fontId="5" fillId="0" borderId="20" xfId="0" applyNumberFormat="1" applyFont="1" applyBorder="1" applyAlignment="1">
      <alignment horizontal="center" vertical="center"/>
    </xf>
    <xf numFmtId="49" fontId="5" fillId="0" borderId="20" xfId="1" applyNumberFormat="1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/>
    </xf>
    <xf numFmtId="31" fontId="5" fillId="0" borderId="21" xfId="0" applyNumberFormat="1" applyFont="1" applyBorder="1" applyAlignment="1">
      <alignment horizontal="center" vertical="center"/>
    </xf>
    <xf numFmtId="0" fontId="5" fillId="0" borderId="10" xfId="50" applyFont="1" applyBorder="1" applyAlignment="1">
      <alignment vertical="center" wrapText="1"/>
    </xf>
    <xf numFmtId="180" fontId="3" fillId="0" borderId="7" xfId="1" applyNumberFormat="1" applyFont="1" applyFill="1" applyBorder="1" applyAlignment="1">
      <alignment horizontal="right" vertical="center"/>
    </xf>
    <xf numFmtId="43" fontId="5" fillId="0" borderId="7" xfId="1" applyFont="1" applyFill="1" applyBorder="1" applyAlignment="1">
      <alignment vertical="center" wrapText="1"/>
    </xf>
    <xf numFmtId="43" fontId="3" fillId="0" borderId="7" xfId="1" applyFont="1" applyFill="1" applyBorder="1" applyAlignment="1">
      <alignment vertical="center" wrapText="1"/>
    </xf>
    <xf numFmtId="180" fontId="3" fillId="0" borderId="7" xfId="1" applyNumberFormat="1" applyFont="1" applyFill="1" applyBorder="1" applyAlignment="1">
      <alignment horizontal="right" vertical="center" wrapText="1"/>
    </xf>
    <xf numFmtId="180" fontId="3" fillId="0" borderId="18" xfId="1" applyNumberFormat="1" applyFont="1" applyFill="1" applyBorder="1" applyAlignment="1">
      <alignment horizontal="right" vertical="center" wrapText="1"/>
    </xf>
    <xf numFmtId="43" fontId="3" fillId="0" borderId="7" xfId="1" applyFont="1" applyFill="1" applyBorder="1" applyAlignment="1">
      <alignment horizontal="left" vertical="center" wrapText="1"/>
    </xf>
    <xf numFmtId="0" fontId="3" fillId="0" borderId="7" xfId="50" applyFont="1" applyBorder="1" applyAlignment="1">
      <alignment horizontal="left" vertical="center" wrapText="1"/>
    </xf>
    <xf numFmtId="0" fontId="3" fillId="0" borderId="7" xfId="51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0" xfId="53" applyFont="1" applyBorder="1" applyAlignment="1">
      <alignment horizontal="justify" vertical="center" wrapText="1"/>
    </xf>
    <xf numFmtId="43" fontId="5" fillId="0" borderId="7" xfId="1" applyFont="1" applyFill="1" applyBorder="1" applyAlignment="1">
      <alignment horizontal="center" vertical="center" wrapText="1"/>
    </xf>
    <xf numFmtId="180" fontId="5" fillId="0" borderId="7" xfId="1" applyNumberFormat="1" applyFont="1" applyFill="1" applyBorder="1" applyAlignment="1">
      <alignment horizontal="right" vertical="center" wrapText="1"/>
    </xf>
    <xf numFmtId="180" fontId="5" fillId="0" borderId="18" xfId="1" applyNumberFormat="1" applyFont="1" applyFill="1" applyBorder="1" applyAlignment="1">
      <alignment horizontal="right" vertical="center" wrapText="1"/>
    </xf>
    <xf numFmtId="43" fontId="5" fillId="0" borderId="7" xfId="1" applyFont="1" applyFill="1" applyBorder="1" applyAlignment="1">
      <alignment horizontal="left" vertical="center" wrapText="1"/>
    </xf>
    <xf numFmtId="43" fontId="3" fillId="0" borderId="7" xfId="71" applyFont="1" applyFill="1" applyBorder="1" applyAlignment="1">
      <alignment horizontal="left" vertical="center" wrapText="1"/>
    </xf>
    <xf numFmtId="43" fontId="3" fillId="0" borderId="7" xfId="71" applyFont="1" applyFill="1" applyBorder="1" applyAlignment="1">
      <alignment vertical="center" wrapText="1"/>
    </xf>
    <xf numFmtId="43" fontId="3" fillId="0" borderId="7" xfId="1" applyFont="1" applyFill="1" applyBorder="1" applyAlignment="1">
      <alignment horizontal="center" vertical="center" wrapText="1"/>
    </xf>
    <xf numFmtId="0" fontId="3" fillId="0" borderId="10" xfId="51" applyFont="1" applyBorder="1" applyAlignment="1">
      <alignment horizontal="left" vertical="center" wrapText="1"/>
    </xf>
    <xf numFmtId="0" fontId="3" fillId="0" borderId="7" xfId="51" applyFont="1" applyBorder="1" applyAlignment="1">
      <alignment horizontal="center" vertical="center"/>
    </xf>
    <xf numFmtId="0" fontId="5" fillId="0" borderId="10" xfId="50" applyFont="1" applyBorder="1" applyAlignment="1">
      <alignment horizontal="center" vertical="center" wrapText="1"/>
    </xf>
    <xf numFmtId="0" fontId="5" fillId="0" borderId="12" xfId="50" applyFont="1" applyBorder="1" applyAlignment="1">
      <alignment horizontal="center" vertical="center" wrapText="1"/>
    </xf>
    <xf numFmtId="43" fontId="5" fillId="0" borderId="13" xfId="1" applyFont="1" applyFill="1" applyBorder="1" applyAlignment="1">
      <alignment horizontal="center" vertical="center" wrapText="1"/>
    </xf>
    <xf numFmtId="43" fontId="5" fillId="0" borderId="13" xfId="1" applyFont="1" applyFill="1" applyBorder="1" applyAlignment="1">
      <alignment vertical="center" wrapText="1"/>
    </xf>
    <xf numFmtId="0" fontId="3" fillId="0" borderId="0" xfId="0" applyFont="1" applyAlignment="1">
      <alignment horizontal="left"/>
    </xf>
    <xf numFmtId="43" fontId="3" fillId="0" borderId="0" xfId="1" applyFont="1" applyFill="1"/>
    <xf numFmtId="43" fontId="3" fillId="0" borderId="0" xfId="1" applyFont="1" applyFill="1" applyBorder="1" applyAlignment="1">
      <alignment horizontal="left"/>
    </xf>
    <xf numFmtId="43" fontId="3" fillId="0" borderId="0" xfId="69" applyFont="1" applyFill="1" applyAlignment="1">
      <alignment wrapText="1"/>
    </xf>
    <xf numFmtId="43" fontId="3" fillId="0" borderId="0" xfId="69" applyFont="1" applyFill="1" applyBorder="1" applyAlignment="1">
      <alignment horizontal="left"/>
    </xf>
    <xf numFmtId="43" fontId="2" fillId="0" borderId="0" xfId="1" applyFont="1"/>
    <xf numFmtId="43" fontId="2" fillId="0" borderId="0" xfId="50" applyNumberFormat="1" applyFont="1"/>
    <xf numFmtId="182" fontId="2" fillId="0" borderId="0" xfId="50" applyNumberFormat="1" applyFont="1"/>
    <xf numFmtId="10" fontId="2" fillId="0" borderId="0" xfId="50" applyNumberFormat="1" applyFont="1"/>
    <xf numFmtId="180" fontId="2" fillId="0" borderId="0" xfId="50" applyNumberFormat="1" applyFont="1"/>
    <xf numFmtId="43" fontId="3" fillId="0" borderId="0" xfId="1" applyFont="1"/>
    <xf numFmtId="0" fontId="3" fillId="0" borderId="0" xfId="95" applyFont="1"/>
    <xf numFmtId="0" fontId="4" fillId="0" borderId="0" xfId="95" applyFont="1" applyAlignment="1">
      <alignment horizontal="center"/>
    </xf>
    <xf numFmtId="31" fontId="3" fillId="0" borderId="0" xfId="95" applyNumberFormat="1" applyFont="1" applyAlignment="1">
      <alignment horizontal="center" vertical="center"/>
    </xf>
    <xf numFmtId="0" fontId="3" fillId="0" borderId="0" xfId="95" applyFont="1" applyAlignment="1">
      <alignment horizontal="left" indent="2"/>
    </xf>
    <xf numFmtId="0" fontId="5" fillId="0" borderId="19" xfId="95" applyFont="1" applyBorder="1" applyAlignment="1">
      <alignment horizontal="center" vertical="center" wrapText="1"/>
    </xf>
    <xf numFmtId="57" fontId="5" fillId="0" borderId="20" xfId="95" applyNumberFormat="1" applyFont="1" applyBorder="1" applyAlignment="1">
      <alignment horizontal="center" vertical="center" wrapText="1"/>
    </xf>
    <xf numFmtId="0" fontId="5" fillId="0" borderId="20" xfId="95" applyFont="1" applyBorder="1" applyAlignment="1">
      <alignment horizontal="center" vertical="center" wrapText="1"/>
    </xf>
    <xf numFmtId="0" fontId="5" fillId="0" borderId="10" xfId="95" applyFont="1" applyBorder="1" applyAlignment="1">
      <alignment horizontal="center" vertical="center" wrapText="1"/>
    </xf>
    <xf numFmtId="0" fontId="5" fillId="0" borderId="26" xfId="95" applyFont="1" applyBorder="1" applyAlignment="1">
      <alignment horizontal="center" vertical="center" wrapText="1"/>
    </xf>
    <xf numFmtId="0" fontId="5" fillId="0" borderId="27" xfId="95" applyFont="1" applyBorder="1" applyAlignment="1">
      <alignment horizontal="center" vertical="center" wrapText="1"/>
    </xf>
    <xf numFmtId="0" fontId="5" fillId="0" borderId="10" xfId="95" applyFont="1" applyBorder="1" applyAlignment="1">
      <alignment vertical="center" wrapText="1"/>
    </xf>
    <xf numFmtId="0" fontId="5" fillId="0" borderId="12" xfId="95" applyFont="1" applyBorder="1" applyAlignment="1">
      <alignment vertical="center" wrapText="1"/>
    </xf>
    <xf numFmtId="0" fontId="3" fillId="0" borderId="0" xfId="56" applyFont="1"/>
    <xf numFmtId="0" fontId="3" fillId="0" borderId="0" xfId="57" applyFont="1" applyAlignment="1">
      <alignment horizontal="center"/>
    </xf>
    <xf numFmtId="0" fontId="3" fillId="0" borderId="0" xfId="95" applyFont="1" applyAlignment="1">
      <alignment vertical="center"/>
    </xf>
    <xf numFmtId="31" fontId="3" fillId="0" borderId="0" xfId="95" applyNumberFormat="1" applyFont="1" applyAlignment="1">
      <alignment horizontal="center"/>
    </xf>
    <xf numFmtId="0" fontId="3" fillId="0" borderId="0" xfId="95" applyFont="1" applyAlignment="1">
      <alignment horizontal="right"/>
    </xf>
    <xf numFmtId="0" fontId="5" fillId="0" borderId="21" xfId="95" applyFont="1" applyBorder="1" applyAlignment="1">
      <alignment horizontal="center" vertical="center" wrapText="1"/>
    </xf>
    <xf numFmtId="0" fontId="5" fillId="0" borderId="24" xfId="95" applyFont="1" applyBorder="1" applyAlignment="1">
      <alignment horizontal="center" vertical="center" wrapText="1"/>
    </xf>
    <xf numFmtId="0" fontId="5" fillId="0" borderId="18" xfId="95" applyFont="1" applyBorder="1" applyAlignment="1">
      <alignment horizontal="center" vertical="center" wrapText="1"/>
    </xf>
    <xf numFmtId="0" fontId="5" fillId="0" borderId="25" xfId="95" applyFont="1" applyBorder="1" applyAlignment="1">
      <alignment horizontal="center" vertical="center" wrapText="1"/>
    </xf>
    <xf numFmtId="0" fontId="5" fillId="0" borderId="28" xfId="95" applyFont="1" applyBorder="1" applyAlignment="1">
      <alignment horizontal="center" vertical="center" wrapText="1"/>
    </xf>
    <xf numFmtId="10" fontId="3" fillId="0" borderId="0" xfId="95" applyNumberFormat="1" applyFont="1"/>
    <xf numFmtId="43" fontId="5" fillId="0" borderId="23" xfId="1" applyFont="1" applyBorder="1" applyAlignment="1">
      <alignment vertical="center"/>
    </xf>
    <xf numFmtId="43" fontId="3" fillId="0" borderId="0" xfId="95" applyNumberFormat="1" applyFont="1"/>
    <xf numFmtId="0" fontId="3" fillId="0" borderId="0" xfId="95" applyFont="1" applyAlignment="1">
      <alignment horizontal="center"/>
    </xf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horizontal="center"/>
    </xf>
    <xf numFmtId="183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right"/>
    </xf>
    <xf numFmtId="0" fontId="5" fillId="0" borderId="19" xfId="0" applyFont="1" applyBorder="1" applyAlignment="1">
      <alignment horizontal="center" vertical="center" wrapText="1"/>
    </xf>
    <xf numFmtId="0" fontId="5" fillId="0" borderId="10" xfId="95" applyFont="1" applyBorder="1" applyAlignment="1">
      <alignment vertical="center"/>
    </xf>
    <xf numFmtId="0" fontId="3" fillId="3" borderId="7" xfId="0" applyFont="1" applyFill="1" applyBorder="1" applyAlignment="1">
      <alignment vertical="center" wrapText="1"/>
    </xf>
    <xf numFmtId="180" fontId="3" fillId="3" borderId="7" xfId="1" applyNumberFormat="1" applyFont="1" applyFill="1" applyBorder="1" applyAlignment="1">
      <alignment vertical="center" wrapText="1"/>
    </xf>
    <xf numFmtId="180" fontId="3" fillId="0" borderId="7" xfId="0" applyNumberFormat="1" applyFont="1" applyBorder="1" applyAlignment="1">
      <alignment vertical="center"/>
    </xf>
    <xf numFmtId="180" fontId="10" fillId="0" borderId="0" xfId="0" applyNumberFormat="1" applyFont="1"/>
    <xf numFmtId="0" fontId="3" fillId="0" borderId="10" xfId="95" applyFont="1" applyBorder="1" applyAlignment="1">
      <alignment horizontal="center" vertical="center"/>
    </xf>
    <xf numFmtId="0" fontId="5" fillId="0" borderId="10" xfId="95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180" fontId="5" fillId="3" borderId="7" xfId="1" applyNumberFormat="1" applyFont="1" applyFill="1" applyBorder="1" applyAlignment="1">
      <alignment vertical="center" wrapText="1"/>
    </xf>
    <xf numFmtId="182" fontId="10" fillId="0" borderId="0" xfId="0" applyNumberFormat="1" applyFont="1"/>
    <xf numFmtId="0" fontId="5" fillId="3" borderId="7" xfId="0" applyFont="1" applyFill="1" applyBorder="1" applyAlignment="1">
      <alignment horizontal="center" vertical="center" wrapText="1"/>
    </xf>
    <xf numFmtId="0" fontId="5" fillId="0" borderId="12" xfId="95" applyFont="1" applyBorder="1" applyAlignment="1">
      <alignment vertical="center"/>
    </xf>
    <xf numFmtId="0" fontId="3" fillId="3" borderId="13" xfId="0" applyFont="1" applyFill="1" applyBorder="1" applyAlignment="1">
      <alignment horizontal="center" vertical="center" wrapText="1"/>
    </xf>
    <xf numFmtId="180" fontId="5" fillId="3" borderId="13" xfId="1" applyNumberFormat="1" applyFont="1" applyFill="1" applyBorder="1" applyAlignment="1">
      <alignment vertical="center" wrapText="1"/>
    </xf>
    <xf numFmtId="0" fontId="3" fillId="0" borderId="14" xfId="0" applyFont="1" applyBorder="1" applyAlignment="1">
      <alignment horizontal="left"/>
    </xf>
    <xf numFmtId="43" fontId="3" fillId="0" borderId="0" xfId="1" applyFont="1" applyAlignment="1">
      <alignment horizontal="left"/>
    </xf>
    <xf numFmtId="0" fontId="11" fillId="0" borderId="0" xfId="0" applyFont="1"/>
    <xf numFmtId="43" fontId="10" fillId="0" borderId="0" xfId="1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84" fontId="2" fillId="0" borderId="0" xfId="0" applyNumberFormat="1" applyFont="1"/>
    <xf numFmtId="43" fontId="2" fillId="0" borderId="0" xfId="0" applyNumberFormat="1" applyFont="1"/>
    <xf numFmtId="180" fontId="2" fillId="0" borderId="0" xfId="0" applyNumberFormat="1" applyFont="1"/>
    <xf numFmtId="0" fontId="3" fillId="0" borderId="10" xfId="95" applyFont="1" applyBorder="1" applyAlignment="1">
      <alignment horizontal="left" vertical="center"/>
    </xf>
    <xf numFmtId="0" fontId="3" fillId="0" borderId="10" xfId="95" applyFont="1" applyBorder="1" applyAlignment="1">
      <alignment horizontal="left" vertical="center" wrapText="1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95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180" fontId="3" fillId="0" borderId="13" xfId="1" applyNumberFormat="1" applyFont="1" applyFill="1" applyBorder="1" applyAlignment="1">
      <alignment horizontal="right" vertical="center"/>
    </xf>
    <xf numFmtId="180" fontId="3" fillId="0" borderId="23" xfId="1" applyNumberFormat="1" applyFont="1" applyFill="1" applyBorder="1" applyAlignment="1">
      <alignment horizontal="right" vertical="center"/>
    </xf>
    <xf numFmtId="43" fontId="3" fillId="0" borderId="7" xfId="1" applyFont="1" applyFill="1" applyBorder="1" applyAlignment="1">
      <alignment vertical="center"/>
    </xf>
    <xf numFmtId="43" fontId="3" fillId="0" borderId="18" xfId="1" applyFont="1" applyFill="1" applyBorder="1" applyAlignment="1">
      <alignment vertical="center"/>
    </xf>
    <xf numFmtId="43" fontId="3" fillId="0" borderId="13" xfId="1" applyFont="1" applyFill="1" applyBorder="1" applyAlignment="1">
      <alignment vertical="center"/>
    </xf>
    <xf numFmtId="43" fontId="3" fillId="0" borderId="23" xfId="1" applyFont="1" applyFill="1" applyBorder="1" applyAlignment="1">
      <alignment vertical="center"/>
    </xf>
    <xf numFmtId="0" fontId="2" fillId="0" borderId="14" xfId="0" applyFont="1" applyBorder="1" applyAlignment="1">
      <alignment horizontal="left"/>
    </xf>
    <xf numFmtId="43" fontId="2" fillId="0" borderId="0" xfId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43" fontId="10" fillId="0" borderId="0" xfId="0" applyNumberFormat="1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5" fillId="0" borderId="0" xfId="0" applyFont="1"/>
    <xf numFmtId="43" fontId="2" fillId="0" borderId="0" xfId="1" applyFont="1" applyFill="1"/>
    <xf numFmtId="0" fontId="4" fillId="0" borderId="0" xfId="0" applyFont="1" applyAlignment="1">
      <alignment horizontal="center" vertical="top"/>
    </xf>
    <xf numFmtId="185" fontId="3" fillId="0" borderId="0" xfId="0" applyNumberFormat="1" applyFont="1" applyAlignment="1">
      <alignment horizontal="center" vertical="center"/>
    </xf>
    <xf numFmtId="31" fontId="3" fillId="0" borderId="1" xfId="0" applyNumberFormat="1" applyFont="1" applyBorder="1"/>
    <xf numFmtId="0" fontId="3" fillId="0" borderId="1" xfId="0" applyFont="1" applyBorder="1" applyAlignment="1">
      <alignment vertical="top"/>
    </xf>
    <xf numFmtId="183" fontId="5" fillId="0" borderId="1" xfId="0" applyNumberFormat="1" applyFont="1" applyBorder="1"/>
    <xf numFmtId="49" fontId="5" fillId="0" borderId="20" xfId="1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180" fontId="3" fillId="0" borderId="7" xfId="1" applyNumberFormat="1" applyFont="1" applyBorder="1" applyAlignment="1">
      <alignment horizontal="right"/>
    </xf>
    <xf numFmtId="0" fontId="5" fillId="0" borderId="7" xfId="0" applyFont="1" applyBorder="1" applyAlignment="1">
      <alignment horizontal="center" vertical="center"/>
    </xf>
    <xf numFmtId="43" fontId="5" fillId="0" borderId="18" xfId="1" applyFont="1" applyFill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43" fontId="5" fillId="0" borderId="13" xfId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43" fontId="5" fillId="0" borderId="23" xfId="1" applyFont="1" applyFill="1" applyBorder="1" applyAlignment="1">
      <alignment horizontal="right" vertical="center"/>
    </xf>
    <xf numFmtId="43" fontId="2" fillId="0" borderId="0" xfId="1" applyFont="1" applyFill="1" applyBorder="1" applyAlignment="1">
      <alignment horizontal="left"/>
    </xf>
    <xf numFmtId="4" fontId="2" fillId="0" borderId="0" xfId="0" applyNumberFormat="1" applyFont="1"/>
    <xf numFmtId="10" fontId="2" fillId="0" borderId="0" xfId="0" applyNumberFormat="1" applyFont="1" applyAlignment="1">
      <alignment horizontal="center" vertical="top"/>
    </xf>
    <xf numFmtId="10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horizontal="center"/>
    </xf>
    <xf numFmtId="10" fontId="3" fillId="0" borderId="0" xfId="0" applyNumberFormat="1" applyFont="1"/>
    <xf numFmtId="43" fontId="3" fillId="0" borderId="0" xfId="0" applyNumberFormat="1" applyFont="1"/>
    <xf numFmtId="180" fontId="3" fillId="0" borderId="0" xfId="0" applyNumberFormat="1" applyFont="1"/>
    <xf numFmtId="10" fontId="5" fillId="0" borderId="0" xfId="0" applyNumberFormat="1" applyFont="1"/>
  </cellXfs>
  <cellStyles count="10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报表" xfId="49"/>
    <cellStyle name="常规 2" xfId="50"/>
    <cellStyle name="常规 2 2" xfId="51"/>
    <cellStyle name="常规 2 3" xfId="52"/>
    <cellStyle name="常规 3" xfId="53"/>
    <cellStyle name="常规 4" xfId="54"/>
    <cellStyle name="常规 5" xfId="55"/>
    <cellStyle name="常规_2004年审合并new" xfId="56"/>
    <cellStyle name="常规_报表" xfId="57"/>
    <cellStyle name="分级显示列_1_Book1" xfId="58"/>
    <cellStyle name="分级显示行_1_Book1" xfId="59"/>
    <cellStyle name="霓付 [0]_97MBO" xfId="60"/>
    <cellStyle name="霓付_97MBO" xfId="61"/>
    <cellStyle name="烹拳 [0]_97MBO" xfId="62"/>
    <cellStyle name="烹拳_97MBO" xfId="63"/>
    <cellStyle name="普通_ 白土" xfId="64"/>
    <cellStyle name="千分位[0]_ 白土" xfId="65"/>
    <cellStyle name="千分位_ 白土" xfId="66"/>
    <cellStyle name="千位[0]_laroux" xfId="67"/>
    <cellStyle name="千位_laroux" xfId="68"/>
    <cellStyle name="千位分隔 2" xfId="69"/>
    <cellStyle name="千位分隔 2 2" xfId="70"/>
    <cellStyle name="千位分隔 2 2 2" xfId="71"/>
    <cellStyle name="千位分隔 2 3" xfId="72"/>
    <cellStyle name="千位分隔 2 3 2" xfId="73"/>
    <cellStyle name="千位分隔 2 4" xfId="74"/>
    <cellStyle name="千位分隔 2 4 2" xfId="75"/>
    <cellStyle name="千位分隔 2 5" xfId="76"/>
    <cellStyle name="千位分隔 2 6" xfId="77"/>
    <cellStyle name="千位分隔 3" xfId="78"/>
    <cellStyle name="千位分隔 3 2" xfId="79"/>
    <cellStyle name="千位分隔 4" xfId="80"/>
    <cellStyle name="千位分隔 4 2" xfId="81"/>
    <cellStyle name="千位分隔 5" xfId="82"/>
    <cellStyle name="千位分隔 5 2" xfId="83"/>
    <cellStyle name="千位分隔 6" xfId="84"/>
    <cellStyle name="千位分隔[0] 2" xfId="85"/>
    <cellStyle name="千位分隔[0] 2 2" xfId="86"/>
    <cellStyle name="千位分隔[0] 2 2 2" xfId="87"/>
    <cellStyle name="千位分隔[0] 2 3" xfId="88"/>
    <cellStyle name="千位分隔[0] 2 3 2" xfId="89"/>
    <cellStyle name="千位分隔[0] 2 4" xfId="90"/>
    <cellStyle name="千位分隔[0] 2 4 2" xfId="91"/>
    <cellStyle name="千位分隔[0] 2 5" xfId="92"/>
    <cellStyle name="千位分隔[0] 2 6" xfId="93"/>
    <cellStyle name="钎霖_laroux" xfId="94"/>
    <cellStyle name="样式 1" xfId="95"/>
    <cellStyle name="一般_客戶準備資料" xfId="96"/>
    <cellStyle name="콤마 [0]_BOILER-CO1" xfId="97"/>
    <cellStyle name="콤마_BOILER-CO1" xfId="98"/>
    <cellStyle name="통화 [0]_BOILER-CO1" xfId="99"/>
    <cellStyle name="통화_BOILER-CO1" xfId="100"/>
    <cellStyle name="표준_0N-HANDLING " xfId="10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3457;&#35745;&#25991;&#20214;&#22841;2024&#24180;&#25253;\&#24179;&#38451;&#22269;&#35802;\&#32456;&#29256;TB\&#24179;&#38451;&#22269;&#35802;TB-2024\0-&#24179;&#38451;&#22269;&#25511;&#22823;&#21512;&#24182;2024T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4179;&#38451;&#22269;&#36164;&#21450;&#22478;&#25237;\&#24179;&#38451;&#22269;&#25511;-2023\1.&#25253;&#21578;\0-&#36130;&#21153;&#25253;&#34920;&#65288;2023&#24180;&#24230;&#65289;-&#22269;&#2551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3457;&#35745;&#25991;&#20214;&#22841;2024&#24180;&#25253;\&#24179;&#38451;&#22269;&#35802;\&#32456;&#29256;TB\&#24179;&#38451;&#22269;&#35802;TB-2024\&#24179;&#38451;&#22269;&#25511;2024T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%20&#24179;&#38451;&#21439;&#22269;&#35802;&#25511;&#32929;&#26377;&#38480;&#20844;&#21496;&#22823;&#21512;&#24182;2025.6T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0%20&#24179;&#38451;&#21439;&#22269;&#35802;&#25511;&#32929;&#26377;&#38480;&#20844;&#21496;2025.6T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&#20013;&#22825;&#24658;\&#24179;&#38451;\2024&#24180;&#25253;\&#20986;&#25253;&#21578;&#21518;&#25972;&#29702;\&#27993;&#27743;&#20998;&#25152;-&#20013;&#22825;&#24658;&#23457;&#23383;[2025]&#31532;1049&#21495;-&#24179;&#38451;&#21439;&#22269;&#35802;&#25511;&#32929;&#26377;&#38480;&#20844;&#21496;2024&#24180;&#23457;&#35745;&#25253;&#21578;-&#23457;&#26680;&#29256;&#65288;&#24102;&#25209;&#27880;&#65289;(1)\&#27993;&#27743;&#20998;&#25152;-&#20013;&#22825;&#24658;&#23457;&#23383;[2025]&#31532;1049&#21495;-&#24179;&#38451;&#21439;&#22269;&#35802;&#25511;&#32929;&#26377;&#38480;&#20844;&#21496;2024&#24180;&#23457;&#35745;&#25253;&#21578;-&#23457;&#26680;&#29256;&#65288;&#24102;&#25209;&#27880;&#65289;\0-&#36130;&#21153;&#25253;&#34920;&#65288;2024&#65289;-&#22269;&#25511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&#20013;&#22825;&#24658;\&#24179;&#38451;\2025&#24180;&#19968;&#23395;&#24230;\&#38472;&#20339;&#22958;\&#24179;&#38451;&#22269;&#25511;TB-2024.6\&#21322;&#24180;&#25253;&#23450;&#31295;\&#24179;&#38451;&#22269;&#35802;24.6&#21322;&#24180;&#25253;-8.27\0-&#36130;&#21153;&#25253;&#34920;&#65288;2024.6&#24180;&#24230;&#65289;-&#22269;&#2551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合并范围"/>
      <sheetName val="会计科目"/>
      <sheetName val="TB表"/>
      <sheetName val="调整分录"/>
      <sheetName val="资产负债表"/>
      <sheetName val="利润表"/>
      <sheetName val="现金流量表调整分录"/>
      <sheetName val="cftb"/>
      <sheetName val="现金流量表"/>
      <sheetName val="所有者权益变动表"/>
      <sheetName val="所得税调整表"/>
      <sheetName val="长期股权投资"/>
    </sheetNames>
    <sheetDataSet>
      <sheetData sheetId="0"/>
      <sheetData sheetId="1"/>
      <sheetData sheetId="2"/>
      <sheetData sheetId="3"/>
      <sheetData sheetId="4"/>
      <sheetData sheetId="5">
        <row r="59">
          <cell r="C59">
            <v>97148948772.54</v>
          </cell>
          <cell r="D59">
            <v>93317738885.06</v>
          </cell>
        </row>
        <row r="59">
          <cell r="H59">
            <v>97148948772.54</v>
          </cell>
          <cell r="I59">
            <v>93317738885.06</v>
          </cell>
        </row>
      </sheetData>
      <sheetData sheetId="6">
        <row r="45">
          <cell r="C45">
            <v>0</v>
          </cell>
        </row>
        <row r="66">
          <cell r="C66">
            <v>141098925.82</v>
          </cell>
        </row>
      </sheetData>
      <sheetData sheetId="7"/>
      <sheetData sheetId="8"/>
      <sheetData sheetId="9">
        <row r="62">
          <cell r="C62">
            <v>1799365276.06</v>
          </cell>
        </row>
      </sheetData>
      <sheetData sheetId="10">
        <row r="18">
          <cell r="M18">
            <v>0</v>
          </cell>
        </row>
        <row r="23">
          <cell r="J23">
            <v>0</v>
          </cell>
        </row>
        <row r="26">
          <cell r="L26">
            <v>0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合并资产负债表"/>
      <sheetName val="合并利润表 "/>
      <sheetName val="合并现金流量表 "/>
      <sheetName val="合并所有者权益变动表 "/>
      <sheetName val="资产负债表"/>
      <sheetName val="利润表"/>
      <sheetName val="现金流量表"/>
      <sheetName val="所有者权益变动表"/>
    </sheetNames>
    <sheetDataSet>
      <sheetData sheetId="0"/>
      <sheetData sheetId="1">
        <row r="54">
          <cell r="C54">
            <v>263266108.97</v>
          </cell>
        </row>
      </sheetData>
      <sheetData sheetId="2">
        <row r="44">
          <cell r="C44">
            <v>3463221321.83999</v>
          </cell>
        </row>
        <row r="48">
          <cell r="C48">
            <v>169952946.82</v>
          </cell>
        </row>
      </sheetData>
      <sheetData sheetId="3"/>
      <sheetData sheetId="4"/>
      <sheetData sheetId="5">
        <row r="46">
          <cell r="C46">
            <v>-5873798.05</v>
          </cell>
        </row>
      </sheetData>
      <sheetData sheetId="6">
        <row r="42">
          <cell r="C42">
            <v>844903.550000057</v>
          </cell>
        </row>
        <row r="47">
          <cell r="C47">
            <v>5.7159923017025e-8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会计科目"/>
      <sheetName val="TB表"/>
      <sheetName val="调整分录"/>
      <sheetName val="资产负债表"/>
      <sheetName val="利润表"/>
      <sheetName val="xbase"/>
      <sheetName val="分析分录"/>
      <sheetName val="分析分录(综合分析)"/>
      <sheetName val="补充分录"/>
      <sheetName val="现金流量表"/>
      <sheetName val="补充资料"/>
      <sheetName val="所有者权益变动表"/>
      <sheetName val="所得税调整表"/>
    </sheetNames>
    <sheetDataSet>
      <sheetData sheetId="0" refreshError="1"/>
      <sheetData sheetId="1" refreshError="1"/>
      <sheetData sheetId="2"/>
      <sheetData sheetId="3" refreshError="1"/>
      <sheetData sheetId="4">
        <row r="47">
          <cell r="C47">
            <v>28277560005.94</v>
          </cell>
          <cell r="D47">
            <v>26348197661.42</v>
          </cell>
        </row>
      </sheetData>
      <sheetData sheetId="5">
        <row r="47">
          <cell r="C47">
            <v>-8498025.83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64">
          <cell r="C64">
            <v>2085557.19</v>
          </cell>
        </row>
      </sheetData>
      <sheetData sheetId="11"/>
      <sheetData sheetId="12">
        <row r="21">
          <cell r="J21">
            <v>0</v>
          </cell>
        </row>
      </sheetData>
      <sheetData sheetId="1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合并范围"/>
      <sheetName val="会计科目"/>
      <sheetName val="TB表"/>
      <sheetName val="调整分录"/>
      <sheetName val="资产负债表"/>
      <sheetName val="利润表"/>
      <sheetName val="现金流量表调整分录"/>
      <sheetName val="cftb"/>
      <sheetName val="现金流量表"/>
      <sheetName val="所有者权益变动表"/>
      <sheetName val="所得税调整表"/>
      <sheetName val="长期股权投资"/>
    </sheetNames>
    <sheetDataSet>
      <sheetData sheetId="0"/>
      <sheetData sheetId="1"/>
      <sheetData sheetId="2"/>
      <sheetData sheetId="3">
        <row r="267">
          <cell r="AF267">
            <v>476827.32</v>
          </cell>
        </row>
      </sheetData>
      <sheetData sheetId="4"/>
      <sheetData sheetId="5">
        <row r="6">
          <cell r="A6" t="str">
            <v>流动资产：</v>
          </cell>
        </row>
        <row r="6">
          <cell r="C6">
            <v>0</v>
          </cell>
        </row>
        <row r="6">
          <cell r="F6" t="str">
            <v>流动负债：</v>
          </cell>
        </row>
        <row r="6">
          <cell r="H6">
            <v>0</v>
          </cell>
        </row>
        <row r="7">
          <cell r="A7" t="str">
            <v>  货币资金</v>
          </cell>
        </row>
        <row r="7">
          <cell r="C7">
            <v>5479236681.27</v>
          </cell>
        </row>
        <row r="7">
          <cell r="F7" t="str">
            <v>  短期借款</v>
          </cell>
        </row>
        <row r="7">
          <cell r="H7">
            <v>5403889346.32</v>
          </cell>
        </row>
        <row r="8">
          <cell r="A8" t="str">
            <v>  结算备付金</v>
          </cell>
        </row>
        <row r="8">
          <cell r="C8">
            <v>0</v>
          </cell>
        </row>
        <row r="8">
          <cell r="F8" t="str">
            <v>  向中央银行借款</v>
          </cell>
        </row>
        <row r="8">
          <cell r="H8">
            <v>0</v>
          </cell>
        </row>
        <row r="9">
          <cell r="A9" t="str">
            <v>  拆出资金</v>
          </cell>
        </row>
        <row r="9">
          <cell r="C9">
            <v>0</v>
          </cell>
        </row>
        <row r="9">
          <cell r="F9" t="str">
            <v>  拆入资金</v>
          </cell>
        </row>
        <row r="9">
          <cell r="H9">
            <v>0</v>
          </cell>
        </row>
        <row r="10">
          <cell r="A10" t="str">
            <v>  交易性金融资产</v>
          </cell>
        </row>
        <row r="10">
          <cell r="C10">
            <v>0</v>
          </cell>
        </row>
        <row r="10">
          <cell r="F10" t="str">
            <v>  交易性金融负债</v>
          </cell>
        </row>
        <row r="10">
          <cell r="H10">
            <v>0</v>
          </cell>
        </row>
        <row r="11">
          <cell r="A11" t="str">
            <v>  衍生金融资产</v>
          </cell>
        </row>
        <row r="11">
          <cell r="C11">
            <v>0</v>
          </cell>
        </row>
        <row r="11">
          <cell r="F11" t="str">
            <v>  衍生金融负债</v>
          </cell>
        </row>
        <row r="11">
          <cell r="H11">
            <v>0</v>
          </cell>
        </row>
        <row r="12">
          <cell r="A12" t="str">
            <v>  应收票据</v>
          </cell>
        </row>
        <row r="12">
          <cell r="C12">
            <v>0</v>
          </cell>
        </row>
        <row r="12">
          <cell r="F12" t="str">
            <v>  应付票据</v>
          </cell>
        </row>
        <row r="12">
          <cell r="H12">
            <v>344900000</v>
          </cell>
        </row>
        <row r="13">
          <cell r="A13" t="str">
            <v>  应收账款</v>
          </cell>
        </row>
        <row r="13">
          <cell r="C13">
            <v>1751657979.35</v>
          </cell>
        </row>
        <row r="13">
          <cell r="F13" t="str">
            <v>  应付账款</v>
          </cell>
        </row>
        <row r="13">
          <cell r="H13">
            <v>516396522.12</v>
          </cell>
        </row>
        <row r="14">
          <cell r="A14" t="str">
            <v>  应收款项融资</v>
          </cell>
        </row>
        <row r="14">
          <cell r="C14">
            <v>0</v>
          </cell>
        </row>
        <row r="14">
          <cell r="F14" t="str">
            <v>  预收款项</v>
          </cell>
        </row>
        <row r="14">
          <cell r="H14">
            <v>4982572.07</v>
          </cell>
        </row>
        <row r="15">
          <cell r="A15" t="str">
            <v>  预付款项</v>
          </cell>
        </row>
        <row r="15">
          <cell r="C15">
            <v>669899309.18</v>
          </cell>
        </row>
        <row r="15">
          <cell r="F15" t="str">
            <v>  合同负债</v>
          </cell>
        </row>
        <row r="15">
          <cell r="H15">
            <v>375497807.15</v>
          </cell>
        </row>
        <row r="16">
          <cell r="A16" t="str">
            <v>  应收保费</v>
          </cell>
        </row>
        <row r="16">
          <cell r="C16">
            <v>0</v>
          </cell>
        </row>
        <row r="16">
          <cell r="F16" t="str">
            <v>  卖出回购金融资产款</v>
          </cell>
        </row>
        <row r="16">
          <cell r="H16">
            <v>0</v>
          </cell>
        </row>
        <row r="17">
          <cell r="A17" t="str">
            <v>  应收分保账款</v>
          </cell>
        </row>
        <row r="17">
          <cell r="C17">
            <v>0</v>
          </cell>
        </row>
        <row r="17">
          <cell r="F17" t="str">
            <v>  吸收存款及同业存放</v>
          </cell>
        </row>
        <row r="17">
          <cell r="H17">
            <v>0</v>
          </cell>
        </row>
        <row r="18">
          <cell r="A18" t="str">
            <v>  应收分保合同准备金</v>
          </cell>
        </row>
        <row r="18">
          <cell r="C18">
            <v>0</v>
          </cell>
        </row>
        <row r="18">
          <cell r="F18" t="str">
            <v>  代理买卖证券款</v>
          </cell>
        </row>
        <row r="18">
          <cell r="H18">
            <v>0</v>
          </cell>
        </row>
        <row r="19">
          <cell r="A19" t="str">
            <v>  其他应收款</v>
          </cell>
        </row>
        <row r="19">
          <cell r="C19">
            <v>7307554815.34</v>
          </cell>
        </row>
        <row r="19">
          <cell r="F19" t="str">
            <v>  代理承销证券款</v>
          </cell>
        </row>
        <row r="19">
          <cell r="H19">
            <v>0</v>
          </cell>
        </row>
        <row r="20">
          <cell r="A20" t="str">
            <v>  买入返售金融资产</v>
          </cell>
        </row>
        <row r="20">
          <cell r="C20">
            <v>0</v>
          </cell>
        </row>
        <row r="20">
          <cell r="F20" t="str">
            <v>  应付职工薪酬</v>
          </cell>
        </row>
        <row r="20">
          <cell r="H20">
            <v>8226436.61</v>
          </cell>
        </row>
        <row r="21">
          <cell r="A21" t="str">
            <v>  存货</v>
          </cell>
        </row>
        <row r="21">
          <cell r="C21">
            <v>73557929681.61</v>
          </cell>
        </row>
        <row r="21">
          <cell r="F21" t="str">
            <v>  应交税费</v>
          </cell>
        </row>
        <row r="21">
          <cell r="H21">
            <v>206086728.74</v>
          </cell>
        </row>
        <row r="22">
          <cell r="A22" t="str">
            <v>  合同资产</v>
          </cell>
        </row>
        <row r="22">
          <cell r="C22">
            <v>0</v>
          </cell>
        </row>
        <row r="22">
          <cell r="F22" t="str">
            <v>  其他应付款</v>
          </cell>
        </row>
        <row r="22">
          <cell r="H22">
            <v>11728644216.22</v>
          </cell>
        </row>
        <row r="23">
          <cell r="A23" t="str">
            <v>  持有待售资产</v>
          </cell>
        </row>
        <row r="23">
          <cell r="C23">
            <v>0</v>
          </cell>
        </row>
        <row r="23">
          <cell r="F23" t="str">
            <v>  应付手续费及佣金</v>
          </cell>
        </row>
        <row r="23">
          <cell r="H23">
            <v>0</v>
          </cell>
        </row>
        <row r="24">
          <cell r="A24" t="str">
            <v>  一年内到期的非流动资产</v>
          </cell>
        </row>
        <row r="24">
          <cell r="C24">
            <v>0</v>
          </cell>
        </row>
        <row r="24">
          <cell r="F24" t="str">
            <v>  应付分保账款</v>
          </cell>
        </row>
        <row r="24">
          <cell r="H24">
            <v>0</v>
          </cell>
        </row>
        <row r="25">
          <cell r="A25" t="str">
            <v>  其他流动资产</v>
          </cell>
        </row>
        <row r="25">
          <cell r="C25">
            <v>327817847.18</v>
          </cell>
        </row>
        <row r="25">
          <cell r="F25" t="str">
            <v>  持有待售负债</v>
          </cell>
        </row>
        <row r="25">
          <cell r="H25">
            <v>0</v>
          </cell>
        </row>
        <row r="26">
          <cell r="A26" t="str">
            <v>      流动资产合计</v>
          </cell>
        </row>
        <row r="26">
          <cell r="C26">
            <v>89094096313.93</v>
          </cell>
        </row>
        <row r="26">
          <cell r="F26" t="str">
            <v>  一年内到期的非流动负债</v>
          </cell>
        </row>
        <row r="26">
          <cell r="H26">
            <v>9118374626.42</v>
          </cell>
        </row>
        <row r="27">
          <cell r="C27">
            <v>0</v>
          </cell>
        </row>
        <row r="27">
          <cell r="F27" t="str">
            <v>  其他流动负债</v>
          </cell>
        </row>
        <row r="27">
          <cell r="H27">
            <v>47431259</v>
          </cell>
        </row>
        <row r="28">
          <cell r="C28">
            <v>0</v>
          </cell>
        </row>
        <row r="28">
          <cell r="F28" t="str">
            <v>       流动负债合计</v>
          </cell>
        </row>
        <row r="28">
          <cell r="H28">
            <v>27754429514.65</v>
          </cell>
        </row>
        <row r="29">
          <cell r="C29">
            <v>0</v>
          </cell>
        </row>
        <row r="29">
          <cell r="F29" t="str">
            <v>非流动负债：</v>
          </cell>
        </row>
        <row r="29">
          <cell r="H29">
            <v>0</v>
          </cell>
        </row>
        <row r="30">
          <cell r="C30">
            <v>0</v>
          </cell>
        </row>
        <row r="30">
          <cell r="F30" t="str">
            <v>  保险合同准备金</v>
          </cell>
        </row>
        <row r="30">
          <cell r="H30">
            <v>0</v>
          </cell>
        </row>
        <row r="31">
          <cell r="C31">
            <v>0</v>
          </cell>
        </row>
        <row r="31">
          <cell r="F31" t="str">
            <v>  长期借款</v>
          </cell>
        </row>
        <row r="31">
          <cell r="H31">
            <v>27273828025.4</v>
          </cell>
        </row>
        <row r="32">
          <cell r="C32">
            <v>0</v>
          </cell>
        </row>
        <row r="32">
          <cell r="F32" t="str">
            <v>  应付债券</v>
          </cell>
        </row>
        <row r="32">
          <cell r="H32">
            <v>10170932633.56</v>
          </cell>
        </row>
        <row r="33">
          <cell r="C33">
            <v>0</v>
          </cell>
        </row>
        <row r="33">
          <cell r="F33" t="str">
            <v>    其中：优先股</v>
          </cell>
        </row>
        <row r="33">
          <cell r="H33">
            <v>0</v>
          </cell>
        </row>
        <row r="34">
          <cell r="C34">
            <v>0</v>
          </cell>
        </row>
        <row r="34">
          <cell r="F34" t="str">
            <v>          永续债</v>
          </cell>
        </row>
        <row r="34">
          <cell r="H34">
            <v>0</v>
          </cell>
        </row>
        <row r="35">
          <cell r="C35">
            <v>0</v>
          </cell>
        </row>
        <row r="35">
          <cell r="F35" t="str">
            <v>  租赁负债</v>
          </cell>
        </row>
        <row r="35">
          <cell r="H35">
            <v>6740599.3</v>
          </cell>
        </row>
        <row r="36">
          <cell r="C36">
            <v>0</v>
          </cell>
        </row>
        <row r="36">
          <cell r="F36" t="str">
            <v>  长期应付款</v>
          </cell>
        </row>
        <row r="36">
          <cell r="H36">
            <v>9172260288.68</v>
          </cell>
        </row>
        <row r="37">
          <cell r="C37">
            <v>0</v>
          </cell>
        </row>
        <row r="37">
          <cell r="F37" t="str">
            <v>  长期应付职工薪酬</v>
          </cell>
        </row>
        <row r="37">
          <cell r="H37">
            <v>0</v>
          </cell>
        </row>
        <row r="38">
          <cell r="A38" t="str">
            <v>非流动资产：</v>
          </cell>
        </row>
        <row r="38">
          <cell r="C38">
            <v>0</v>
          </cell>
        </row>
        <row r="38">
          <cell r="F38" t="str">
            <v>  预计负债</v>
          </cell>
        </row>
        <row r="38">
          <cell r="H38">
            <v>0</v>
          </cell>
        </row>
        <row r="39">
          <cell r="A39" t="str">
            <v>  发放贷款和垫款</v>
          </cell>
        </row>
        <row r="39">
          <cell r="C39">
            <v>0</v>
          </cell>
        </row>
        <row r="39">
          <cell r="F39" t="str">
            <v>  递延收益</v>
          </cell>
        </row>
        <row r="39">
          <cell r="H39">
            <v>87182982.54</v>
          </cell>
        </row>
        <row r="40">
          <cell r="A40" t="str">
            <v>  债权投资</v>
          </cell>
        </row>
        <row r="40">
          <cell r="C40">
            <v>0</v>
          </cell>
        </row>
        <row r="40">
          <cell r="F40" t="str">
            <v>  递延所得税负债</v>
          </cell>
        </row>
        <row r="40">
          <cell r="H40">
            <v>152466418.73</v>
          </cell>
        </row>
        <row r="41">
          <cell r="A41" t="str">
            <v>  其他债权投资</v>
          </cell>
        </row>
        <row r="41">
          <cell r="C41">
            <v>0</v>
          </cell>
        </row>
        <row r="41">
          <cell r="F41" t="str">
            <v>  其他非流动负债</v>
          </cell>
        </row>
        <row r="41">
          <cell r="H41">
            <v>0</v>
          </cell>
        </row>
        <row r="42">
          <cell r="A42" t="str">
            <v>  长期应收款</v>
          </cell>
        </row>
        <row r="42">
          <cell r="C42">
            <v>735840885.97</v>
          </cell>
        </row>
        <row r="42">
          <cell r="F42" t="str">
            <v>     非流动负债合计</v>
          </cell>
        </row>
        <row r="42">
          <cell r="H42">
            <v>46863410948.21</v>
          </cell>
        </row>
        <row r="43">
          <cell r="A43" t="str">
            <v>  长期股权投资</v>
          </cell>
        </row>
        <row r="43">
          <cell r="C43">
            <v>190238324.07</v>
          </cell>
        </row>
        <row r="43">
          <cell r="F43" t="str">
            <v>         负债合计</v>
          </cell>
        </row>
        <row r="43">
          <cell r="H43">
            <v>74617840462.86</v>
          </cell>
        </row>
        <row r="44">
          <cell r="A44" t="str">
            <v>  其他权益工具投资</v>
          </cell>
        </row>
        <row r="44">
          <cell r="C44">
            <v>2770763356.71</v>
          </cell>
        </row>
        <row r="44">
          <cell r="F44" t="str">
            <v>所有者权益(或股东权益)：</v>
          </cell>
        </row>
        <row r="44">
          <cell r="H44">
            <v>0</v>
          </cell>
        </row>
        <row r="45">
          <cell r="A45" t="str">
            <v>  其他非流动金融资产</v>
          </cell>
        </row>
        <row r="45">
          <cell r="C45">
            <v>0</v>
          </cell>
        </row>
        <row r="45">
          <cell r="F45" t="str">
            <v>  实收资本(或股本)</v>
          </cell>
        </row>
        <row r="45">
          <cell r="H45">
            <v>1500000000</v>
          </cell>
        </row>
        <row r="46">
          <cell r="A46" t="str">
            <v>  投资性房地产</v>
          </cell>
        </row>
        <row r="46">
          <cell r="C46">
            <v>1349698097</v>
          </cell>
        </row>
        <row r="46">
          <cell r="F46" t="str">
            <v>  其他权益工具</v>
          </cell>
        </row>
        <row r="46">
          <cell r="H46">
            <v>0</v>
          </cell>
        </row>
        <row r="47">
          <cell r="A47" t="str">
            <v>  固定资产</v>
          </cell>
        </row>
        <row r="47">
          <cell r="C47">
            <v>2125380536.03</v>
          </cell>
        </row>
        <row r="47">
          <cell r="F47" t="str">
            <v>    其中：优先股</v>
          </cell>
        </row>
        <row r="47">
          <cell r="H47">
            <v>0</v>
          </cell>
        </row>
        <row r="48">
          <cell r="A48" t="str">
            <v>  在建工程</v>
          </cell>
        </row>
        <row r="48">
          <cell r="C48">
            <v>165651640.2</v>
          </cell>
        </row>
        <row r="48">
          <cell r="F48" t="str">
            <v>          永续债</v>
          </cell>
        </row>
        <row r="48">
          <cell r="H48">
            <v>0</v>
          </cell>
        </row>
        <row r="49">
          <cell r="A49" t="str">
            <v>  生产性生物资产</v>
          </cell>
        </row>
        <row r="49">
          <cell r="C49">
            <v>0</v>
          </cell>
        </row>
        <row r="49">
          <cell r="F49" t="str">
            <v>  资本公积</v>
          </cell>
        </row>
        <row r="49">
          <cell r="H49">
            <v>20805292132.16</v>
          </cell>
        </row>
        <row r="50">
          <cell r="A50" t="str">
            <v>  油气资产</v>
          </cell>
        </row>
        <row r="50">
          <cell r="C50">
            <v>0</v>
          </cell>
        </row>
        <row r="50">
          <cell r="F50" t="str">
            <v>  减：库存股</v>
          </cell>
        </row>
        <row r="50">
          <cell r="H50">
            <v>0</v>
          </cell>
        </row>
        <row r="51">
          <cell r="A51" t="str">
            <v>  使用权资产</v>
          </cell>
        </row>
        <row r="51">
          <cell r="C51">
            <v>8005093.68</v>
          </cell>
        </row>
        <row r="51">
          <cell r="F51" t="str">
            <v>  其他综合收益</v>
          </cell>
        </row>
        <row r="51">
          <cell r="H51">
            <v>390962134.89</v>
          </cell>
        </row>
        <row r="52">
          <cell r="A52" t="str">
            <v>  无形资产</v>
          </cell>
        </row>
        <row r="52">
          <cell r="C52">
            <v>7640815104.98</v>
          </cell>
        </row>
        <row r="52">
          <cell r="F52" t="str">
            <v>  专项储备</v>
          </cell>
        </row>
        <row r="52">
          <cell r="H52">
            <v>2201853.4</v>
          </cell>
        </row>
        <row r="53">
          <cell r="A53" t="str">
            <v>  开发支出</v>
          </cell>
        </row>
        <row r="53">
          <cell r="C53">
            <v>0</v>
          </cell>
        </row>
        <row r="53">
          <cell r="F53" t="str">
            <v>  盈余公积</v>
          </cell>
        </row>
        <row r="53">
          <cell r="H53">
            <v>70332998.57</v>
          </cell>
        </row>
        <row r="54">
          <cell r="A54" t="str">
            <v>  商誉</v>
          </cell>
        </row>
        <row r="54">
          <cell r="C54">
            <v>0</v>
          </cell>
        </row>
        <row r="54">
          <cell r="F54" t="str">
            <v>  一般风险准备</v>
          </cell>
        </row>
        <row r="54">
          <cell r="H54">
            <v>0</v>
          </cell>
        </row>
        <row r="55">
          <cell r="A55" t="str">
            <v>  长期待摊费用</v>
          </cell>
        </row>
        <row r="55">
          <cell r="C55">
            <v>93408628.97</v>
          </cell>
        </row>
        <row r="55">
          <cell r="F55" t="str">
            <v>  未分配利润</v>
          </cell>
        </row>
        <row r="55">
          <cell r="H55">
            <v>2097693078.04</v>
          </cell>
        </row>
        <row r="56">
          <cell r="A56" t="str">
            <v>  递延所得税资产</v>
          </cell>
        </row>
        <row r="56">
          <cell r="C56">
            <v>23132518.22</v>
          </cell>
        </row>
        <row r="56">
          <cell r="F56" t="str">
            <v>  归属于母公司所有者权益合计</v>
          </cell>
        </row>
        <row r="56">
          <cell r="H56">
            <v>24866482197.06</v>
          </cell>
        </row>
        <row r="57">
          <cell r="A57" t="str">
            <v>  其他非流动资产</v>
          </cell>
        </row>
        <row r="57">
          <cell r="C57">
            <v>830681969.59</v>
          </cell>
        </row>
        <row r="57">
          <cell r="F57" t="str">
            <v>  少数股东权益</v>
          </cell>
        </row>
        <row r="57">
          <cell r="H57">
            <v>5543389809.43</v>
          </cell>
        </row>
        <row r="58">
          <cell r="A58" t="str">
            <v>     非流动资产合计</v>
          </cell>
        </row>
        <row r="58">
          <cell r="C58">
            <v>15933616155.42</v>
          </cell>
        </row>
        <row r="58">
          <cell r="F58" t="str">
            <v>       所有者权益合计</v>
          </cell>
        </row>
        <row r="58">
          <cell r="H58">
            <v>30409872006.49</v>
          </cell>
        </row>
        <row r="59">
          <cell r="A59" t="str">
            <v>      资产总计</v>
          </cell>
        </row>
        <row r="59">
          <cell r="C59">
            <v>105027712469.35</v>
          </cell>
        </row>
        <row r="59">
          <cell r="F59" t="str">
            <v>负债和所有者权益总计</v>
          </cell>
        </row>
        <row r="59">
          <cell r="H59">
            <v>105027712469.35</v>
          </cell>
        </row>
      </sheetData>
      <sheetData sheetId="6">
        <row r="6">
          <cell r="A6" t="str">
            <v>一、营业总收入</v>
          </cell>
        </row>
        <row r="6">
          <cell r="C6">
            <v>387657942.02</v>
          </cell>
        </row>
        <row r="7">
          <cell r="A7" t="str">
            <v>  其中：营业收入</v>
          </cell>
        </row>
        <row r="7">
          <cell r="C7">
            <v>387657942.02</v>
          </cell>
        </row>
        <row r="8">
          <cell r="A8" t="str">
            <v>        利息收入</v>
          </cell>
        </row>
        <row r="8">
          <cell r="C8">
            <v>0</v>
          </cell>
        </row>
        <row r="9">
          <cell r="A9" t="str">
            <v>        已赚保费</v>
          </cell>
        </row>
        <row r="9">
          <cell r="C9">
            <v>0</v>
          </cell>
        </row>
        <row r="10">
          <cell r="A10" t="str">
            <v>        手续费及佣金收入</v>
          </cell>
        </row>
        <row r="10">
          <cell r="C10">
            <v>0</v>
          </cell>
        </row>
        <row r="11">
          <cell r="A11" t="str">
            <v>二、营业总成本</v>
          </cell>
        </row>
        <row r="11">
          <cell r="C11">
            <v>814943043.83</v>
          </cell>
        </row>
        <row r="12">
          <cell r="A12" t="str">
            <v>  其中：营业成本</v>
          </cell>
        </row>
        <row r="12">
          <cell r="C12">
            <v>415697073.03</v>
          </cell>
        </row>
        <row r="13">
          <cell r="A13" t="str">
            <v>        利息支出</v>
          </cell>
        </row>
        <row r="13">
          <cell r="C13">
            <v>0</v>
          </cell>
        </row>
        <row r="14">
          <cell r="A14" t="str">
            <v>        手续费及佣金支出</v>
          </cell>
        </row>
        <row r="14">
          <cell r="C14">
            <v>0</v>
          </cell>
        </row>
        <row r="15">
          <cell r="A15" t="str">
            <v>        退保金</v>
          </cell>
        </row>
        <row r="15">
          <cell r="C15">
            <v>0</v>
          </cell>
        </row>
        <row r="16">
          <cell r="A16" t="str">
            <v>        赔付支出净额</v>
          </cell>
        </row>
        <row r="16">
          <cell r="C16">
            <v>0</v>
          </cell>
        </row>
        <row r="17">
          <cell r="A17" t="str">
            <v>        提取保险责任准备金净额</v>
          </cell>
        </row>
        <row r="17">
          <cell r="C17">
            <v>0</v>
          </cell>
        </row>
        <row r="18">
          <cell r="A18" t="str">
            <v>        保单红利支出</v>
          </cell>
        </row>
        <row r="18">
          <cell r="C18">
            <v>0</v>
          </cell>
        </row>
        <row r="19">
          <cell r="A19" t="str">
            <v>        分保费用</v>
          </cell>
        </row>
        <row r="19">
          <cell r="C19">
            <v>0</v>
          </cell>
        </row>
        <row r="20">
          <cell r="A20" t="str">
            <v>        税金及附加</v>
          </cell>
        </row>
        <row r="20">
          <cell r="C20">
            <v>40381687</v>
          </cell>
        </row>
        <row r="21">
          <cell r="A21" t="str">
            <v>        销售费用</v>
          </cell>
        </row>
        <row r="21">
          <cell r="C21">
            <v>12251963.97</v>
          </cell>
        </row>
        <row r="22">
          <cell r="A22" t="str">
            <v>        管理费用</v>
          </cell>
        </row>
        <row r="22">
          <cell r="C22">
            <v>253590877.7</v>
          </cell>
        </row>
        <row r="23">
          <cell r="A23" t="str">
            <v>        研发费用</v>
          </cell>
        </row>
        <row r="23">
          <cell r="C23">
            <v>0</v>
          </cell>
        </row>
        <row r="24">
          <cell r="A24" t="str">
            <v>        财务费用</v>
          </cell>
        </row>
        <row r="24">
          <cell r="C24">
            <v>93021442.13</v>
          </cell>
        </row>
        <row r="25">
          <cell r="A25" t="str">
            <v>        其中：利息费用</v>
          </cell>
        </row>
        <row r="25">
          <cell r="C25">
            <v>0</v>
          </cell>
        </row>
        <row r="26">
          <cell r="A26" t="str">
            <v>              利息收入</v>
          </cell>
        </row>
        <row r="26">
          <cell r="C26">
            <v>0</v>
          </cell>
        </row>
        <row r="27">
          <cell r="A27" t="str">
            <v>  加：其他收益</v>
          </cell>
        </row>
        <row r="27">
          <cell r="C27">
            <v>5944841.45</v>
          </cell>
        </row>
        <row r="28">
          <cell r="A28" t="str">
            <v>      投资收益（损失以“-”号填列）</v>
          </cell>
        </row>
        <row r="28">
          <cell r="C28">
            <v>-40800635.36</v>
          </cell>
        </row>
        <row r="29">
          <cell r="A29" t="str">
            <v>        其中：对联营企业和合营企业的投资收益</v>
          </cell>
        </row>
        <row r="29">
          <cell r="C29">
            <v>0</v>
          </cell>
        </row>
        <row r="30">
          <cell r="A30" t="str">
            <v>            以摊余成本计量的金融资产终止确认收益</v>
          </cell>
        </row>
        <row r="30">
          <cell r="C30">
            <v>0</v>
          </cell>
        </row>
        <row r="31">
          <cell r="A31" t="str">
            <v>      汇兑收益（损失以“-”号填列）</v>
          </cell>
        </row>
        <row r="31">
          <cell r="C31">
            <v>0</v>
          </cell>
        </row>
        <row r="32">
          <cell r="A32" t="str">
            <v>      净敞口套期收益（损失以“-”号填列）</v>
          </cell>
        </row>
        <row r="32">
          <cell r="C32">
            <v>0</v>
          </cell>
        </row>
        <row r="33">
          <cell r="A33" t="str">
            <v>      公允价值变动收益（损失以“-”号填列）</v>
          </cell>
        </row>
        <row r="33">
          <cell r="C33">
            <v>1561800</v>
          </cell>
        </row>
        <row r="34">
          <cell r="A34" t="str">
            <v>      信用减值损失（损失以“-”号填列）</v>
          </cell>
        </row>
        <row r="34">
          <cell r="C34">
            <v>-7211088.59</v>
          </cell>
        </row>
        <row r="35">
          <cell r="A35" t="str">
            <v>      资产减值损失（损失以“-”号填列）</v>
          </cell>
        </row>
        <row r="35">
          <cell r="C35">
            <v>0</v>
          </cell>
        </row>
        <row r="36">
          <cell r="A36" t="str">
            <v>      资产处置收益（损失以“-”号填列）</v>
          </cell>
        </row>
        <row r="36">
          <cell r="C36">
            <v>40950659.35</v>
          </cell>
        </row>
        <row r="37">
          <cell r="A37" t="str">
            <v>三、营业利润（亏损以“-”号填列）</v>
          </cell>
        </row>
        <row r="37">
          <cell r="C37">
            <v>-426839524.96</v>
          </cell>
        </row>
        <row r="38">
          <cell r="A38" t="str">
            <v>  加：营业外收入</v>
          </cell>
        </row>
        <row r="38">
          <cell r="C38">
            <v>5367322.73</v>
          </cell>
        </row>
        <row r="39">
          <cell r="A39" t="str">
            <v>  减：营业外支出</v>
          </cell>
        </row>
        <row r="39">
          <cell r="C39">
            <v>26485333.78</v>
          </cell>
        </row>
        <row r="40">
          <cell r="A40" t="str">
            <v>四、利润总额（亏损总额以“-”号填列）</v>
          </cell>
        </row>
        <row r="40">
          <cell r="C40">
            <v>-447957536.01</v>
          </cell>
        </row>
        <row r="41">
          <cell r="A41" t="str">
            <v>  减：所得税费用</v>
          </cell>
        </row>
        <row r="41">
          <cell r="C41">
            <v>9803974.45</v>
          </cell>
        </row>
        <row r="42">
          <cell r="A42" t="str">
            <v>五、净利润（净亏损以“-”号填列）</v>
          </cell>
        </row>
        <row r="42">
          <cell r="C42">
            <v>-457761510.46</v>
          </cell>
        </row>
        <row r="43">
          <cell r="A43" t="str">
            <v>  （一）按经营持续性分类：</v>
          </cell>
        </row>
        <row r="43">
          <cell r="C43">
            <v>0</v>
          </cell>
        </row>
        <row r="44">
          <cell r="A44" t="str">
            <v>      1.持续经营净利润（净亏损以“-”号填列）</v>
          </cell>
        </row>
        <row r="44">
          <cell r="C44">
            <v>-457761510.46</v>
          </cell>
        </row>
        <row r="45">
          <cell r="A45" t="str">
            <v>      2.终止经营净利润（净亏损以“-”号填列）</v>
          </cell>
        </row>
        <row r="45">
          <cell r="C45">
            <v>0</v>
          </cell>
        </row>
        <row r="46">
          <cell r="A46" t="str">
            <v>  （二）按所有权归属分类：</v>
          </cell>
        </row>
        <row r="46">
          <cell r="C46">
            <v>0</v>
          </cell>
        </row>
        <row r="47">
          <cell r="A47" t="str">
            <v>      1.归属于母公司所有者的净利润（净亏损以“-”号填列）</v>
          </cell>
        </row>
        <row r="47">
          <cell r="C47">
            <v>-441758591.26</v>
          </cell>
        </row>
        <row r="48">
          <cell r="A48" t="str">
            <v>      2.少数股东损益（净亏损以“-”号填列）</v>
          </cell>
        </row>
        <row r="48">
          <cell r="C48">
            <v>-16002919.2</v>
          </cell>
        </row>
        <row r="49">
          <cell r="A49" t="str">
            <v>六、其他综合收益的税后净额</v>
          </cell>
        </row>
        <row r="49">
          <cell r="C49">
            <v>0</v>
          </cell>
        </row>
        <row r="50">
          <cell r="A50" t="str">
            <v>   归属于母公司所有者的其他综合收益的税后净额</v>
          </cell>
        </row>
        <row r="50">
          <cell r="C50">
            <v>0</v>
          </cell>
        </row>
        <row r="51">
          <cell r="A51" t="str">
            <v>  （一）不能重分类进损益的其他综合收益</v>
          </cell>
        </row>
        <row r="51">
          <cell r="C51">
            <v>0</v>
          </cell>
        </row>
        <row r="52">
          <cell r="A52" t="str">
            <v>      1.重新计量设定受益计划变动额</v>
          </cell>
        </row>
        <row r="52">
          <cell r="C52">
            <v>0</v>
          </cell>
        </row>
        <row r="53">
          <cell r="A53" t="str">
            <v>      2.权益法下不能转损益的其他综合收益</v>
          </cell>
        </row>
        <row r="53">
          <cell r="C53">
            <v>0</v>
          </cell>
        </row>
        <row r="54">
          <cell r="A54" t="str">
            <v>      3.其他权益工具投资公允价值变动</v>
          </cell>
        </row>
        <row r="54">
          <cell r="C54">
            <v>0</v>
          </cell>
        </row>
        <row r="55">
          <cell r="A55" t="str">
            <v>      4.企业自身信用风险公允价值变动</v>
          </cell>
        </row>
        <row r="55">
          <cell r="C55">
            <v>0</v>
          </cell>
        </row>
        <row r="56">
          <cell r="A56" t="str">
            <v>      5.其他</v>
          </cell>
        </row>
        <row r="56">
          <cell r="C56">
            <v>0</v>
          </cell>
        </row>
        <row r="57">
          <cell r="A57" t="str">
            <v>  （二）将重分类进损益的其他综合收益</v>
          </cell>
        </row>
        <row r="57">
          <cell r="C57">
            <v>0</v>
          </cell>
        </row>
        <row r="58">
          <cell r="A58" t="str">
            <v>      1.权益法下可转损益的其他综合收益</v>
          </cell>
        </row>
        <row r="58">
          <cell r="C58">
            <v>0</v>
          </cell>
        </row>
        <row r="59">
          <cell r="A59" t="str">
            <v>      2.其他债权投资公允价值变动</v>
          </cell>
        </row>
        <row r="59">
          <cell r="C59">
            <v>0</v>
          </cell>
        </row>
        <row r="60">
          <cell r="A60" t="str">
            <v>      3.金融资产重分类计入其他综合收益的金额</v>
          </cell>
        </row>
        <row r="60">
          <cell r="C60">
            <v>0</v>
          </cell>
        </row>
        <row r="61">
          <cell r="A61" t="str">
            <v>      4.其他债权投资信用减值准备</v>
          </cell>
        </row>
        <row r="61">
          <cell r="C61">
            <v>0</v>
          </cell>
        </row>
        <row r="62">
          <cell r="A62" t="str">
            <v>      5.现金流量套期储备</v>
          </cell>
        </row>
        <row r="62">
          <cell r="C62">
            <v>0</v>
          </cell>
        </row>
        <row r="63">
          <cell r="A63" t="str">
            <v>      6.外币财务报表折算差额</v>
          </cell>
        </row>
        <row r="63">
          <cell r="C63">
            <v>0</v>
          </cell>
        </row>
        <row r="64">
          <cell r="A64" t="str">
            <v>      7.其他</v>
          </cell>
        </row>
        <row r="64">
          <cell r="C64">
            <v>0</v>
          </cell>
        </row>
        <row r="65">
          <cell r="A65" t="str">
            <v>   归属于少数股东的其他综合收益的税后净额</v>
          </cell>
        </row>
        <row r="65">
          <cell r="C65">
            <v>0</v>
          </cell>
        </row>
        <row r="66">
          <cell r="A66" t="str">
            <v>七、综合收益总额</v>
          </cell>
        </row>
        <row r="66">
          <cell r="C66">
            <v>-457761510.46</v>
          </cell>
        </row>
        <row r="67">
          <cell r="A67" t="str">
            <v>    归属于母公司所有者的综合收益总额</v>
          </cell>
        </row>
        <row r="67">
          <cell r="C67">
            <v>-441758591.26</v>
          </cell>
        </row>
        <row r="68">
          <cell r="A68" t="str">
            <v>    归属于少数股东的综合收益总额</v>
          </cell>
        </row>
        <row r="68">
          <cell r="C68">
            <v>-16002919.2</v>
          </cell>
        </row>
        <row r="69">
          <cell r="A69" t="str">
            <v>八、每股收益：</v>
          </cell>
        </row>
        <row r="69">
          <cell r="C69">
            <v>0</v>
          </cell>
        </row>
        <row r="70">
          <cell r="A70" t="str">
            <v>  （一）基本每股收益</v>
          </cell>
        </row>
        <row r="70">
          <cell r="C70">
            <v>0</v>
          </cell>
        </row>
        <row r="71">
          <cell r="A71" t="str">
            <v>  （二）稀释每股收益</v>
          </cell>
        </row>
        <row r="71">
          <cell r="C71">
            <v>0</v>
          </cell>
        </row>
      </sheetData>
      <sheetData sheetId="7"/>
      <sheetData sheetId="8"/>
      <sheetData sheetId="9">
        <row r="6">
          <cell r="A6" t="str">
            <v>一、经营活动产生的现金流量：</v>
          </cell>
        </row>
        <row r="6">
          <cell r="C6">
            <v>0</v>
          </cell>
        </row>
        <row r="7">
          <cell r="A7" t="str">
            <v>    销售商品、提供劳务收到的现金</v>
          </cell>
        </row>
        <row r="7">
          <cell r="C7">
            <v>419591869.094762</v>
          </cell>
        </row>
        <row r="8">
          <cell r="A8" t="str">
            <v>    客户存款和同业存放款项净增加额</v>
          </cell>
        </row>
        <row r="8">
          <cell r="C8">
            <v>0</v>
          </cell>
        </row>
        <row r="9">
          <cell r="A9" t="str">
            <v>    向中央银行借款净增加额</v>
          </cell>
        </row>
        <row r="9">
          <cell r="C9">
            <v>0</v>
          </cell>
        </row>
        <row r="10">
          <cell r="A10" t="str">
            <v>    向其他金融机构拆入资金净增加额</v>
          </cell>
        </row>
        <row r="10">
          <cell r="C10">
            <v>0</v>
          </cell>
        </row>
        <row r="11">
          <cell r="A11" t="str">
            <v>    收到原保险合同保费取得的现金</v>
          </cell>
        </row>
        <row r="11">
          <cell r="C11">
            <v>0</v>
          </cell>
        </row>
        <row r="12">
          <cell r="A12" t="str">
            <v>    收到再保业务现金净额</v>
          </cell>
        </row>
        <row r="12">
          <cell r="C12">
            <v>0</v>
          </cell>
        </row>
        <row r="13">
          <cell r="A13" t="str">
            <v>    保户储金及投资款净增加额</v>
          </cell>
        </row>
        <row r="13">
          <cell r="C13">
            <v>0</v>
          </cell>
        </row>
        <row r="14">
          <cell r="A14" t="str">
            <v>    收取利息、手续费及佣金的现金</v>
          </cell>
        </row>
        <row r="14">
          <cell r="C14">
            <v>0</v>
          </cell>
        </row>
        <row r="15">
          <cell r="A15" t="str">
            <v>    拆入资金净增加额</v>
          </cell>
        </row>
        <row r="15">
          <cell r="C15">
            <v>0</v>
          </cell>
        </row>
        <row r="16">
          <cell r="A16" t="str">
            <v>    回购业务资金净增加额</v>
          </cell>
        </row>
        <row r="16">
          <cell r="C16">
            <v>0</v>
          </cell>
        </row>
        <row r="17">
          <cell r="A17" t="str">
            <v>    代理买卖证券收到的现金净额</v>
          </cell>
        </row>
        <row r="17">
          <cell r="C17">
            <v>0</v>
          </cell>
        </row>
        <row r="18">
          <cell r="A18" t="str">
            <v>    收到的税费返还</v>
          </cell>
        </row>
        <row r="18">
          <cell r="C18">
            <v>15559.84</v>
          </cell>
        </row>
        <row r="19">
          <cell r="A19" t="str">
            <v>    收到其他与经营活动有关的现金</v>
          </cell>
        </row>
        <row r="19">
          <cell r="C19">
            <v>10645108775.3395</v>
          </cell>
        </row>
        <row r="20">
          <cell r="A20" t="str">
            <v>      经营活动现金流入小计</v>
          </cell>
        </row>
        <row r="20">
          <cell r="C20">
            <v>11064716204.2743</v>
          </cell>
        </row>
        <row r="21">
          <cell r="A21" t="str">
            <v>    购买商品、接受劳务支付的现金</v>
          </cell>
        </row>
        <row r="21">
          <cell r="C21">
            <v>4672890178.22</v>
          </cell>
        </row>
        <row r="22">
          <cell r="A22" t="str">
            <v>    客户贷款及垫款净增加额</v>
          </cell>
        </row>
        <row r="22">
          <cell r="C22">
            <v>0</v>
          </cell>
        </row>
        <row r="23">
          <cell r="A23" t="str">
            <v>    存放中央银行和同业款项净增加额</v>
          </cell>
        </row>
        <row r="23">
          <cell r="C23">
            <v>0</v>
          </cell>
        </row>
        <row r="24">
          <cell r="A24" t="str">
            <v>    支付原保险合同赔付款项的现金</v>
          </cell>
        </row>
        <row r="24">
          <cell r="C24">
            <v>0</v>
          </cell>
        </row>
        <row r="25">
          <cell r="A25" t="str">
            <v>    拆出资金净增加额</v>
          </cell>
        </row>
        <row r="25">
          <cell r="C25">
            <v>0</v>
          </cell>
        </row>
        <row r="26">
          <cell r="A26" t="str">
            <v>    支付利息、手续费及佣金的现金</v>
          </cell>
        </row>
        <row r="26">
          <cell r="C26">
            <v>0</v>
          </cell>
        </row>
        <row r="27">
          <cell r="A27" t="str">
            <v>    支付保单红利的现金</v>
          </cell>
        </row>
        <row r="27">
          <cell r="C27">
            <v>0</v>
          </cell>
        </row>
        <row r="28">
          <cell r="A28" t="str">
            <v>    支付给职工以及为职工支付的现金</v>
          </cell>
        </row>
        <row r="28">
          <cell r="C28">
            <v>148040184.03</v>
          </cell>
        </row>
        <row r="29">
          <cell r="A29" t="str">
            <v>    支付的各项税费</v>
          </cell>
        </row>
        <row r="29">
          <cell r="C29">
            <v>108499189.14</v>
          </cell>
        </row>
        <row r="30">
          <cell r="A30" t="str">
            <v>    支付其他与经营活动有关的现金</v>
          </cell>
        </row>
        <row r="30">
          <cell r="C30">
            <v>7206380954.01428</v>
          </cell>
        </row>
        <row r="31">
          <cell r="A31" t="str">
            <v>      经营活动现金流出小计</v>
          </cell>
        </row>
        <row r="31">
          <cell r="C31">
            <v>12135810505.4043</v>
          </cell>
        </row>
        <row r="32">
          <cell r="A32" t="str">
            <v>        经营活动产生的现金流量净额</v>
          </cell>
        </row>
        <row r="32">
          <cell r="C32">
            <v>-1071094301.12999</v>
          </cell>
        </row>
        <row r="33">
          <cell r="A33" t="str">
            <v>二、投资活动产生的现金流量：</v>
          </cell>
        </row>
        <row r="33">
          <cell r="C33">
            <v>0</v>
          </cell>
        </row>
        <row r="34">
          <cell r="A34" t="str">
            <v>    收回投资收到的现金</v>
          </cell>
        </row>
        <row r="34">
          <cell r="C34">
            <v>5336250</v>
          </cell>
        </row>
        <row r="35">
          <cell r="A35" t="str">
            <v>    取得投资收益收到的现金</v>
          </cell>
        </row>
        <row r="35">
          <cell r="C35">
            <v>351204784.2</v>
          </cell>
        </row>
        <row r="36">
          <cell r="A36" t="str">
            <v>    处置固定资产、无形资产和其他长期资产收回的现金净额</v>
          </cell>
        </row>
        <row r="36">
          <cell r="C36">
            <v>202724446.09</v>
          </cell>
        </row>
        <row r="37">
          <cell r="A37" t="str">
            <v>    处置子公司及其他营业单位收到的现金净额</v>
          </cell>
        </row>
        <row r="37">
          <cell r="C37">
            <v>0</v>
          </cell>
        </row>
        <row r="38">
          <cell r="A38" t="str">
            <v>    收到其他与投资活动有关的现金</v>
          </cell>
        </row>
        <row r="38">
          <cell r="C38">
            <v>2409687.94</v>
          </cell>
        </row>
        <row r="39">
          <cell r="A39" t="str">
            <v>      投资活动现金流入小计</v>
          </cell>
        </row>
        <row r="39">
          <cell r="C39">
            <v>561675168.23</v>
          </cell>
        </row>
        <row r="40">
          <cell r="A40" t="str">
            <v>    购建固定资产、无形资产和其他长期资产支付的现金</v>
          </cell>
        </row>
        <row r="40">
          <cell r="C40">
            <v>580096288.85</v>
          </cell>
        </row>
        <row r="41">
          <cell r="A41" t="str">
            <v>    投资支付的现金</v>
          </cell>
        </row>
        <row r="41">
          <cell r="C41">
            <v>114050000</v>
          </cell>
        </row>
        <row r="42">
          <cell r="A42" t="str">
            <v>    质押贷款净增加额</v>
          </cell>
        </row>
        <row r="42">
          <cell r="C42">
            <v>0</v>
          </cell>
        </row>
        <row r="43">
          <cell r="A43" t="str">
            <v>    取得子公司及其他营业单位支付的现金净额</v>
          </cell>
        </row>
        <row r="43">
          <cell r="C43">
            <v>113070000</v>
          </cell>
        </row>
        <row r="44">
          <cell r="A44" t="str">
            <v>    支付其他与投资活动有关的现金</v>
          </cell>
        </row>
        <row r="44">
          <cell r="C44">
            <v>0</v>
          </cell>
        </row>
        <row r="45">
          <cell r="A45" t="str">
            <v>      投资活动现金流出小计</v>
          </cell>
        </row>
        <row r="45">
          <cell r="C45">
            <v>807216288.85</v>
          </cell>
        </row>
        <row r="46">
          <cell r="A46" t="str">
            <v>        投资活动产生的现金流量净额</v>
          </cell>
        </row>
        <row r="46">
          <cell r="C46">
            <v>-245541120.62</v>
          </cell>
        </row>
        <row r="47">
          <cell r="A47" t="str">
            <v>三、筹资活动产生的现金流量：</v>
          </cell>
        </row>
        <row r="47">
          <cell r="C47">
            <v>0</v>
          </cell>
        </row>
        <row r="48">
          <cell r="A48" t="str">
            <v>    吸收投资收到的现金</v>
          </cell>
        </row>
        <row r="48">
          <cell r="C48">
            <v>366670000</v>
          </cell>
        </row>
        <row r="49">
          <cell r="A49" t="str">
            <v>    其中：子公司吸收少数股东投资收到的现金</v>
          </cell>
        </row>
        <row r="49">
          <cell r="C49">
            <v>0</v>
          </cell>
        </row>
        <row r="50">
          <cell r="A50" t="str">
            <v>    取得借款收到的现金</v>
          </cell>
        </row>
        <row r="50">
          <cell r="C50">
            <v>11991331835.64</v>
          </cell>
        </row>
        <row r="51">
          <cell r="A51" t="str">
            <v>    收到其他与筹资活动有关的现金</v>
          </cell>
        </row>
        <row r="51">
          <cell r="C51">
            <v>2142756737.75</v>
          </cell>
        </row>
        <row r="52">
          <cell r="A52" t="str">
            <v>      筹资活动现金流入小计</v>
          </cell>
        </row>
        <row r="52">
          <cell r="C52">
            <v>14500758573.39</v>
          </cell>
        </row>
        <row r="53">
          <cell r="A53" t="str">
            <v>    偿还债务支付的现金</v>
          </cell>
        </row>
        <row r="53">
          <cell r="C53">
            <v>8123968404.87</v>
          </cell>
        </row>
        <row r="54">
          <cell r="A54" t="str">
            <v>    分配股利、利润或偿付利息支付的现金</v>
          </cell>
        </row>
        <row r="54">
          <cell r="C54">
            <v>881724226.05</v>
          </cell>
        </row>
        <row r="55">
          <cell r="A55" t="str">
            <v>    其中：子公司支付给少数股东的股利、利润</v>
          </cell>
        </row>
        <row r="55">
          <cell r="C55">
            <v>0</v>
          </cell>
        </row>
        <row r="56">
          <cell r="A56" t="str">
            <v>    支付其他与筹资活动有关的现金</v>
          </cell>
        </row>
        <row r="56">
          <cell r="C56">
            <v>728524992.81</v>
          </cell>
        </row>
        <row r="57">
          <cell r="A57" t="str">
            <v>      筹资活动现金流出小计</v>
          </cell>
        </row>
        <row r="57">
          <cell r="C57">
            <v>9734217623.73</v>
          </cell>
        </row>
        <row r="58">
          <cell r="A58" t="str">
            <v>        筹资活动产生的现金流量净额</v>
          </cell>
        </row>
        <row r="58">
          <cell r="C58">
            <v>4766540949.66</v>
          </cell>
        </row>
        <row r="59">
          <cell r="A59" t="str">
            <v>四、汇率变动对现金及现金等价物的影响</v>
          </cell>
        </row>
        <row r="59">
          <cell r="C59">
            <v>0</v>
          </cell>
        </row>
        <row r="60">
          <cell r="A60" t="str">
            <v>五、现金及现金等价物净增加额</v>
          </cell>
        </row>
        <row r="60">
          <cell r="C60">
            <v>3449905527.91001</v>
          </cell>
        </row>
        <row r="61">
          <cell r="A61" t="str">
            <v>    加：期初现金及现金等价物余额</v>
          </cell>
        </row>
        <row r="61">
          <cell r="C61">
            <v>1845693086.57</v>
          </cell>
        </row>
        <row r="62">
          <cell r="A62" t="str">
            <v>六、期末现金及现金等价物余额</v>
          </cell>
        </row>
        <row r="62">
          <cell r="C62">
            <v>5295598614.48</v>
          </cell>
        </row>
        <row r="63">
          <cell r="A63" t="str">
            <v>法定代表人：                           主管会计工作的负责人：                          会计机构负责人：</v>
          </cell>
        </row>
      </sheetData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会计科目"/>
      <sheetName val="TB表"/>
      <sheetName val="调整分录"/>
      <sheetName val="资产负债表"/>
      <sheetName val="利润表"/>
      <sheetName val="xbase"/>
      <sheetName val="分析分录"/>
      <sheetName val="分析分录(综合分析)"/>
      <sheetName val="补充分录"/>
      <sheetName val="现金流量表"/>
      <sheetName val="补充资料"/>
      <sheetName val="所有者权益变动表"/>
      <sheetName val="所得税调整表"/>
    </sheetNames>
    <sheetDataSet>
      <sheetData sheetId="0"/>
      <sheetData sheetId="1"/>
      <sheetData sheetId="2"/>
      <sheetData sheetId="3"/>
      <sheetData sheetId="4">
        <row r="6">
          <cell r="F6" t="str">
            <v>流动负债：</v>
          </cell>
        </row>
        <row r="6">
          <cell r="H6">
            <v>0</v>
          </cell>
        </row>
        <row r="7">
          <cell r="A7" t="str">
            <v>  货币资金</v>
          </cell>
        </row>
        <row r="7">
          <cell r="C7">
            <v>351990747.4</v>
          </cell>
        </row>
        <row r="7">
          <cell r="F7" t="str">
            <v>  短期借款</v>
          </cell>
        </row>
        <row r="7">
          <cell r="H7">
            <v>1001512387.5</v>
          </cell>
        </row>
        <row r="8">
          <cell r="A8" t="str">
            <v>  交易性金融资产</v>
          </cell>
        </row>
        <row r="8">
          <cell r="C8">
            <v>0</v>
          </cell>
        </row>
        <row r="8">
          <cell r="F8" t="str">
            <v>  交易性金融负债</v>
          </cell>
        </row>
        <row r="8">
          <cell r="H8">
            <v>0</v>
          </cell>
        </row>
        <row r="9">
          <cell r="A9" t="str">
            <v>  衍生金融资产</v>
          </cell>
        </row>
        <row r="9">
          <cell r="C9">
            <v>0</v>
          </cell>
        </row>
        <row r="9">
          <cell r="F9" t="str">
            <v>  衍生金融负债</v>
          </cell>
        </row>
        <row r="9">
          <cell r="H9">
            <v>0</v>
          </cell>
        </row>
        <row r="10">
          <cell r="A10" t="str">
            <v>  应收票据</v>
          </cell>
        </row>
        <row r="10">
          <cell r="C10">
            <v>0</v>
          </cell>
        </row>
        <row r="10">
          <cell r="F10" t="str">
            <v>  应付票据</v>
          </cell>
        </row>
        <row r="10">
          <cell r="H10">
            <v>0</v>
          </cell>
        </row>
        <row r="11">
          <cell r="A11" t="str">
            <v>  应收账款</v>
          </cell>
        </row>
        <row r="11">
          <cell r="C11">
            <v>0</v>
          </cell>
        </row>
        <row r="11">
          <cell r="F11" t="str">
            <v>  应付账款</v>
          </cell>
        </row>
        <row r="11">
          <cell r="H11">
            <v>0</v>
          </cell>
        </row>
        <row r="12">
          <cell r="A12" t="str">
            <v>  应收款项融资</v>
          </cell>
        </row>
        <row r="12">
          <cell r="C12">
            <v>0</v>
          </cell>
        </row>
        <row r="12">
          <cell r="F12" t="str">
            <v>  预收款项</v>
          </cell>
        </row>
        <row r="12">
          <cell r="H12">
            <v>0</v>
          </cell>
        </row>
        <row r="13">
          <cell r="A13" t="str">
            <v>  预付款项</v>
          </cell>
        </row>
        <row r="13">
          <cell r="C13">
            <v>0</v>
          </cell>
        </row>
        <row r="13">
          <cell r="F13" t="str">
            <v>  合同负债</v>
          </cell>
        </row>
        <row r="13">
          <cell r="H13">
            <v>0</v>
          </cell>
        </row>
        <row r="14">
          <cell r="A14" t="str">
            <v>  其他应收款</v>
          </cell>
        </row>
        <row r="14">
          <cell r="C14">
            <v>6253570464.74</v>
          </cell>
        </row>
        <row r="14">
          <cell r="F14" t="str">
            <v>  应付职工薪酬</v>
          </cell>
        </row>
        <row r="14">
          <cell r="H14">
            <v>0</v>
          </cell>
        </row>
        <row r="15">
          <cell r="A15" t="str">
            <v>  存货</v>
          </cell>
        </row>
        <row r="15">
          <cell r="C15">
            <v>78053738.9</v>
          </cell>
        </row>
        <row r="15">
          <cell r="F15" t="str">
            <v>  应交税费</v>
          </cell>
        </row>
        <row r="15">
          <cell r="H15">
            <v>0</v>
          </cell>
        </row>
        <row r="16">
          <cell r="A16" t="str">
            <v>  合同资产</v>
          </cell>
        </row>
        <row r="16">
          <cell r="C16">
            <v>0</v>
          </cell>
        </row>
        <row r="16">
          <cell r="F16" t="str">
            <v>  其他应付款</v>
          </cell>
        </row>
        <row r="16">
          <cell r="H16">
            <v>73000000</v>
          </cell>
        </row>
        <row r="17">
          <cell r="A17" t="str">
            <v>  持有待售资产</v>
          </cell>
        </row>
        <row r="17">
          <cell r="C17">
            <v>0</v>
          </cell>
        </row>
        <row r="17">
          <cell r="F17" t="str">
            <v>  持有待售负债</v>
          </cell>
        </row>
        <row r="17">
          <cell r="H17">
            <v>0</v>
          </cell>
        </row>
        <row r="18">
          <cell r="A18" t="str">
            <v>  一年内到期的非流动资产</v>
          </cell>
        </row>
        <row r="18">
          <cell r="C18">
            <v>0</v>
          </cell>
        </row>
        <row r="18">
          <cell r="F18" t="str">
            <v>  一年内到期的非流动负债</v>
          </cell>
        </row>
        <row r="18">
          <cell r="H18">
            <v>7515217.6</v>
          </cell>
        </row>
        <row r="19">
          <cell r="A19" t="str">
            <v>  其他流动资产</v>
          </cell>
        </row>
        <row r="19">
          <cell r="C19">
            <v>0</v>
          </cell>
        </row>
        <row r="19">
          <cell r="F19" t="str">
            <v>  其他流动负债</v>
          </cell>
        </row>
        <row r="19">
          <cell r="H19">
            <v>0</v>
          </cell>
        </row>
        <row r="20">
          <cell r="A20" t="str">
            <v>      流动资产合计</v>
          </cell>
        </row>
        <row r="20">
          <cell r="C20">
            <v>6683614951.04</v>
          </cell>
        </row>
        <row r="20">
          <cell r="F20" t="str">
            <v>       流动负债合计</v>
          </cell>
        </row>
        <row r="20">
          <cell r="H20">
            <v>1082027605.1</v>
          </cell>
        </row>
        <row r="21">
          <cell r="C21">
            <v>0</v>
          </cell>
        </row>
        <row r="21">
          <cell r="F21" t="str">
            <v>非流动负债：</v>
          </cell>
        </row>
        <row r="21">
          <cell r="H21">
            <v>0</v>
          </cell>
        </row>
        <row r="22">
          <cell r="C22">
            <v>0</v>
          </cell>
        </row>
        <row r="22">
          <cell r="F22" t="str">
            <v>  长期借款</v>
          </cell>
        </row>
        <row r="22">
          <cell r="H22">
            <v>884100000</v>
          </cell>
        </row>
        <row r="23">
          <cell r="C23">
            <v>0</v>
          </cell>
        </row>
        <row r="23">
          <cell r="F23" t="str">
            <v>  应付债券</v>
          </cell>
        </row>
        <row r="23">
          <cell r="H23">
            <v>4745585250</v>
          </cell>
        </row>
        <row r="24">
          <cell r="C24">
            <v>0</v>
          </cell>
        </row>
        <row r="24">
          <cell r="F24" t="str">
            <v>    其中：优先股</v>
          </cell>
        </row>
        <row r="24">
          <cell r="H24">
            <v>0</v>
          </cell>
        </row>
        <row r="25">
          <cell r="C25">
            <v>0</v>
          </cell>
        </row>
        <row r="25">
          <cell r="F25" t="str">
            <v>          永续债</v>
          </cell>
        </row>
        <row r="25">
          <cell r="H25">
            <v>0</v>
          </cell>
        </row>
        <row r="26">
          <cell r="C26">
            <v>0</v>
          </cell>
        </row>
        <row r="26">
          <cell r="F26" t="str">
            <v>  租赁负债</v>
          </cell>
        </row>
        <row r="26">
          <cell r="H26">
            <v>0</v>
          </cell>
        </row>
        <row r="27">
          <cell r="A27" t="str">
            <v>非流动资产：</v>
          </cell>
        </row>
        <row r="27">
          <cell r="C27">
            <v>0</v>
          </cell>
        </row>
        <row r="27">
          <cell r="F27" t="str">
            <v>  长期应付款</v>
          </cell>
        </row>
        <row r="27">
          <cell r="H27">
            <v>0</v>
          </cell>
        </row>
        <row r="28">
          <cell r="A28" t="str">
            <v>  债权投资</v>
          </cell>
        </row>
        <row r="28">
          <cell r="C28">
            <v>0</v>
          </cell>
        </row>
        <row r="28">
          <cell r="F28" t="str">
            <v>  长期应付职工薪酬</v>
          </cell>
        </row>
        <row r="28">
          <cell r="H28">
            <v>0</v>
          </cell>
        </row>
        <row r="29">
          <cell r="A29" t="str">
            <v>  其他债权投资</v>
          </cell>
        </row>
        <row r="29">
          <cell r="C29">
            <v>0</v>
          </cell>
        </row>
        <row r="29">
          <cell r="F29" t="str">
            <v>  预计负债</v>
          </cell>
        </row>
        <row r="29">
          <cell r="H29">
            <v>0</v>
          </cell>
        </row>
        <row r="30">
          <cell r="A30" t="str">
            <v>  长期应收款</v>
          </cell>
        </row>
        <row r="30">
          <cell r="C30">
            <v>3511000</v>
          </cell>
        </row>
        <row r="30">
          <cell r="F30" t="str">
            <v>  递延收益</v>
          </cell>
        </row>
        <row r="30">
          <cell r="H30">
            <v>0</v>
          </cell>
        </row>
        <row r="31">
          <cell r="A31" t="str">
            <v>  长期股权投资</v>
          </cell>
        </row>
        <row r="31">
          <cell r="C31">
            <v>23722029220.13</v>
          </cell>
        </row>
        <row r="31">
          <cell r="F31" t="str">
            <v>  递延所得税负债</v>
          </cell>
        </row>
        <row r="31">
          <cell r="H31">
            <v>0</v>
          </cell>
        </row>
        <row r="32">
          <cell r="A32" t="str">
            <v>  其他权益工具投资</v>
          </cell>
        </row>
        <row r="32">
          <cell r="C32">
            <v>0</v>
          </cell>
        </row>
        <row r="32">
          <cell r="F32" t="str">
            <v>  其他非流动负债</v>
          </cell>
        </row>
        <row r="32">
          <cell r="H32">
            <v>0</v>
          </cell>
        </row>
        <row r="33">
          <cell r="A33" t="str">
            <v>  其他非流动金融资产</v>
          </cell>
        </row>
        <row r="33">
          <cell r="C33">
            <v>0</v>
          </cell>
        </row>
        <row r="33">
          <cell r="F33" t="str">
            <v>      非流动负债合计</v>
          </cell>
        </row>
        <row r="33">
          <cell r="H33">
            <v>5629685250</v>
          </cell>
        </row>
        <row r="34">
          <cell r="A34" t="str">
            <v>  投资性房地产</v>
          </cell>
        </row>
        <row r="34">
          <cell r="C34">
            <v>0</v>
          </cell>
        </row>
        <row r="34">
          <cell r="F34" t="str">
            <v>        负债合计</v>
          </cell>
        </row>
        <row r="34">
          <cell r="H34">
            <v>6711712855.1</v>
          </cell>
        </row>
        <row r="35">
          <cell r="A35" t="str">
            <v>  固定资产</v>
          </cell>
        </row>
        <row r="35">
          <cell r="C35">
            <v>0</v>
          </cell>
        </row>
        <row r="35">
          <cell r="F35" t="str">
            <v>所有者权益(或股东权益)：</v>
          </cell>
        </row>
        <row r="35">
          <cell r="H35">
            <v>0</v>
          </cell>
        </row>
        <row r="36">
          <cell r="A36" t="str">
            <v>  在建工程</v>
          </cell>
        </row>
        <row r="36">
          <cell r="C36">
            <v>0</v>
          </cell>
        </row>
        <row r="36">
          <cell r="F36" t="str">
            <v>  实收资本(或股本)</v>
          </cell>
        </row>
        <row r="36">
          <cell r="H36">
            <v>1500000000</v>
          </cell>
        </row>
        <row r="37">
          <cell r="A37" t="str">
            <v>  生产性生物资产</v>
          </cell>
        </row>
        <row r="37">
          <cell r="C37">
            <v>0</v>
          </cell>
        </row>
        <row r="37">
          <cell r="F37" t="str">
            <v>  其他权益工具</v>
          </cell>
        </row>
        <row r="37">
          <cell r="H37">
            <v>0</v>
          </cell>
        </row>
        <row r="38">
          <cell r="A38" t="str">
            <v>  油气资产</v>
          </cell>
        </row>
        <row r="38">
          <cell r="C38">
            <v>0</v>
          </cell>
        </row>
        <row r="38">
          <cell r="F38" t="str">
            <v>    其中：优先股</v>
          </cell>
        </row>
        <row r="38">
          <cell r="H38">
            <v>0</v>
          </cell>
        </row>
        <row r="39">
          <cell r="A39" t="str">
            <v>  使用权资产</v>
          </cell>
        </row>
        <row r="39">
          <cell r="C39">
            <v>0</v>
          </cell>
        </row>
        <row r="39">
          <cell r="F39" t="str">
            <v>          永续债</v>
          </cell>
        </row>
        <row r="39">
          <cell r="H39">
            <v>0</v>
          </cell>
        </row>
        <row r="40">
          <cell r="A40" t="str">
            <v>  无形资产</v>
          </cell>
        </row>
        <row r="40">
          <cell r="C40">
            <v>0</v>
          </cell>
        </row>
        <row r="40">
          <cell r="F40" t="str">
            <v>  资本公积</v>
          </cell>
        </row>
        <row r="40">
          <cell r="H40">
            <v>22232029220.13</v>
          </cell>
        </row>
        <row r="41">
          <cell r="A41" t="str">
            <v>  开发支出</v>
          </cell>
        </row>
        <row r="41">
          <cell r="C41">
            <v>0</v>
          </cell>
        </row>
        <row r="41">
          <cell r="F41" t="str">
            <v>  减：库存股</v>
          </cell>
        </row>
        <row r="41">
          <cell r="H41">
            <v>0</v>
          </cell>
        </row>
        <row r="42">
          <cell r="A42" t="str">
            <v>  商誉</v>
          </cell>
        </row>
        <row r="42">
          <cell r="C42">
            <v>0</v>
          </cell>
        </row>
        <row r="42">
          <cell r="F42" t="str">
            <v>  其他综合收益</v>
          </cell>
        </row>
        <row r="42">
          <cell r="H42">
            <v>0</v>
          </cell>
        </row>
        <row r="43">
          <cell r="A43" t="str">
            <v>  长期待摊费用</v>
          </cell>
        </row>
        <row r="43">
          <cell r="C43">
            <v>0</v>
          </cell>
        </row>
        <row r="43">
          <cell r="F43" t="str">
            <v>  专项储备</v>
          </cell>
        </row>
        <row r="43">
          <cell r="H43">
            <v>0</v>
          </cell>
        </row>
        <row r="44">
          <cell r="A44" t="str">
            <v>  递延所得税资产</v>
          </cell>
        </row>
        <row r="44">
          <cell r="C44">
            <v>12500</v>
          </cell>
        </row>
        <row r="44">
          <cell r="F44" t="str">
            <v>  盈余公积</v>
          </cell>
        </row>
        <row r="44">
          <cell r="H44">
            <v>0</v>
          </cell>
        </row>
        <row r="45">
          <cell r="A45" t="str">
            <v>  其他非流动资产</v>
          </cell>
        </row>
        <row r="45">
          <cell r="C45">
            <v>0</v>
          </cell>
        </row>
        <row r="45">
          <cell r="F45" t="str">
            <v>  未分配利润</v>
          </cell>
        </row>
        <row r="45">
          <cell r="H45">
            <v>-34574404.06</v>
          </cell>
        </row>
        <row r="46">
          <cell r="A46" t="str">
            <v>     非流动资产合计</v>
          </cell>
        </row>
        <row r="46">
          <cell r="C46">
            <v>23725552720.13</v>
          </cell>
        </row>
        <row r="46">
          <cell r="F46" t="str">
            <v>       所有者权益合计</v>
          </cell>
        </row>
        <row r="46">
          <cell r="H46">
            <v>23697454816.07</v>
          </cell>
        </row>
        <row r="47">
          <cell r="A47" t="str">
            <v>资产总计</v>
          </cell>
        </row>
        <row r="47">
          <cell r="C47">
            <v>30409167671.17</v>
          </cell>
        </row>
        <row r="47">
          <cell r="F47" t="str">
            <v>负债和所有者权益总计</v>
          </cell>
        </row>
        <row r="47">
          <cell r="H47">
            <v>30409167671.17</v>
          </cell>
        </row>
        <row r="48">
          <cell r="A48" t="str">
            <v>法定代表人：</v>
          </cell>
        </row>
      </sheetData>
      <sheetData sheetId="5">
        <row r="6">
          <cell r="A6" t="str">
            <v>一、营业收入</v>
          </cell>
        </row>
        <row r="6">
          <cell r="C6">
            <v>0</v>
          </cell>
          <cell r="D6">
            <v>0</v>
          </cell>
        </row>
        <row r="7">
          <cell r="A7" t="str">
            <v>    减：营业成本</v>
          </cell>
        </row>
        <row r="7">
          <cell r="C7">
            <v>0</v>
          </cell>
          <cell r="D7">
            <v>0</v>
          </cell>
        </row>
        <row r="8">
          <cell r="A8" t="str">
            <v>        税金及附加</v>
          </cell>
        </row>
        <row r="8">
          <cell r="C8">
            <v>0</v>
          </cell>
          <cell r="D8">
            <v>0</v>
          </cell>
        </row>
        <row r="9">
          <cell r="A9" t="str">
            <v>        销售费用</v>
          </cell>
        </row>
        <row r="9">
          <cell r="C9">
            <v>0</v>
          </cell>
          <cell r="D9">
            <v>0</v>
          </cell>
        </row>
        <row r="10">
          <cell r="A10" t="str">
            <v>        管理费用</v>
          </cell>
        </row>
        <row r="10">
          <cell r="C10">
            <v>1303200</v>
          </cell>
          <cell r="D10">
            <v>465220</v>
          </cell>
        </row>
        <row r="11">
          <cell r="A11" t="str">
            <v>        研发费用</v>
          </cell>
        </row>
        <row r="11">
          <cell r="C11">
            <v>0</v>
          </cell>
          <cell r="D11">
            <v>0</v>
          </cell>
        </row>
        <row r="12">
          <cell r="A12" t="str">
            <v>        财务费用</v>
          </cell>
        </row>
        <row r="12">
          <cell r="C12">
            <v>12891672.8</v>
          </cell>
          <cell r="D12">
            <v>8032805.83</v>
          </cell>
        </row>
        <row r="13">
          <cell r="A13" t="str">
            <v>        其中：利息费用</v>
          </cell>
        </row>
        <row r="13">
          <cell r="C13">
            <v>94044377.12</v>
          </cell>
          <cell r="D13">
            <v>0</v>
          </cell>
        </row>
        <row r="14">
          <cell r="A14" t="str">
            <v>              利息收入</v>
          </cell>
        </row>
        <row r="14">
          <cell r="C14">
            <v>146557.83</v>
          </cell>
          <cell r="D14">
            <v>0</v>
          </cell>
        </row>
        <row r="15">
          <cell r="A15" t="str">
            <v>    加：其他收益</v>
          </cell>
        </row>
        <row r="15">
          <cell r="C15">
            <v>0</v>
          </cell>
          <cell r="D15">
            <v>0</v>
          </cell>
        </row>
        <row r="16">
          <cell r="A16" t="str">
            <v>        投资收益（损失以“-”号填列）</v>
          </cell>
        </row>
        <row r="16">
          <cell r="C16">
            <v>0</v>
          </cell>
          <cell r="D16">
            <v>0</v>
          </cell>
        </row>
        <row r="17">
          <cell r="A17" t="str">
            <v>        其中：对联营企业和合营企业的投资收益</v>
          </cell>
        </row>
        <row r="17">
          <cell r="C17">
            <v>0</v>
          </cell>
          <cell r="D17">
            <v>0</v>
          </cell>
        </row>
        <row r="18">
          <cell r="A18" t="str">
            <v>            以摊余成本计量的金融资产终止确认收益</v>
          </cell>
        </row>
        <row r="18">
          <cell r="C18">
            <v>0</v>
          </cell>
          <cell r="D18">
            <v>0</v>
          </cell>
        </row>
        <row r="19">
          <cell r="A19" t="str">
            <v>        净敞口套期收益（损失以“-”号填列）</v>
          </cell>
        </row>
        <row r="19">
          <cell r="C19">
            <v>0</v>
          </cell>
          <cell r="D19">
            <v>0</v>
          </cell>
        </row>
        <row r="20">
          <cell r="A20" t="str">
            <v>        公允价值变动收益（损失以“-”号填列）</v>
          </cell>
        </row>
        <row r="20">
          <cell r="C20">
            <v>0</v>
          </cell>
          <cell r="D20">
            <v>0</v>
          </cell>
        </row>
        <row r="21">
          <cell r="A21" t="str">
            <v>        信用减值损失（损失以“-”号填列）</v>
          </cell>
        </row>
        <row r="21">
          <cell r="C21">
            <v>0</v>
          </cell>
          <cell r="D21">
            <v>0</v>
          </cell>
        </row>
        <row r="22">
          <cell r="A22" t="str">
            <v>        资产减值损失（损失以“-”号填列）</v>
          </cell>
        </row>
        <row r="22">
          <cell r="C22">
            <v>0</v>
          </cell>
          <cell r="D22">
            <v>0</v>
          </cell>
        </row>
        <row r="23">
          <cell r="A23" t="str">
            <v>        资产处置收益（损失以“-”号填列）</v>
          </cell>
        </row>
        <row r="23">
          <cell r="C23">
            <v>0</v>
          </cell>
          <cell r="D23">
            <v>0</v>
          </cell>
        </row>
        <row r="24">
          <cell r="A24" t="str">
            <v>二、营业利润（亏损以“-”号填列）</v>
          </cell>
        </row>
        <row r="24">
          <cell r="C24">
            <v>-14194872.8</v>
          </cell>
          <cell r="D24">
            <v>-8498025.83</v>
          </cell>
        </row>
        <row r="25">
          <cell r="A25" t="str">
            <v>    加：营业外收入</v>
          </cell>
        </row>
        <row r="25">
          <cell r="C25">
            <v>0.01</v>
          </cell>
          <cell r="D25">
            <v>0</v>
          </cell>
        </row>
        <row r="26">
          <cell r="A26" t="str">
            <v>    减：营业外支出</v>
          </cell>
        </row>
        <row r="26">
          <cell r="C26">
            <v>0</v>
          </cell>
          <cell r="D26">
            <v>0</v>
          </cell>
        </row>
        <row r="27">
          <cell r="A27" t="str">
            <v>三、利润总额（亏损总额以“-”号填列）</v>
          </cell>
        </row>
        <row r="27">
          <cell r="C27">
            <v>-14194872.79</v>
          </cell>
          <cell r="D27">
            <v>-8498025.83</v>
          </cell>
        </row>
        <row r="28">
          <cell r="A28" t="str">
            <v>    减：所得税费用</v>
          </cell>
        </row>
        <row r="28">
          <cell r="C28">
            <v>0</v>
          </cell>
          <cell r="D28">
            <v>0</v>
          </cell>
        </row>
        <row r="29">
          <cell r="A29" t="str">
            <v>四、净利润（净亏损以“-”号填列）</v>
          </cell>
        </row>
        <row r="29">
          <cell r="C29">
            <v>-14194872.79</v>
          </cell>
          <cell r="D29">
            <v>-8498025.83</v>
          </cell>
        </row>
        <row r="30">
          <cell r="A30" t="str">
            <v>    （一）持续经营净利润（净亏损以“-”号填列）</v>
          </cell>
        </row>
        <row r="30">
          <cell r="C30">
            <v>-14194872.79</v>
          </cell>
          <cell r="D30">
            <v>-8498025.83</v>
          </cell>
        </row>
        <row r="31">
          <cell r="A31" t="str">
            <v>    （二）终止经营净利润（净亏损以“-”号填列）</v>
          </cell>
        </row>
        <row r="31">
          <cell r="C31">
            <v>0</v>
          </cell>
          <cell r="D31">
            <v>0</v>
          </cell>
        </row>
        <row r="32">
          <cell r="A32" t="str">
            <v>五、其他综合收益的税后净额</v>
          </cell>
        </row>
        <row r="32">
          <cell r="C32">
            <v>0</v>
          </cell>
          <cell r="D32">
            <v>0</v>
          </cell>
        </row>
        <row r="33">
          <cell r="A33" t="str">
            <v>    （一）不能重分类进损益的其他综合收益</v>
          </cell>
        </row>
        <row r="33">
          <cell r="C33">
            <v>0</v>
          </cell>
          <cell r="D33">
            <v>0</v>
          </cell>
        </row>
        <row r="34">
          <cell r="A34" t="str">
            <v>        1.重新计量设定受益计划变动额</v>
          </cell>
        </row>
        <row r="34">
          <cell r="C34">
            <v>0</v>
          </cell>
          <cell r="D34">
            <v>0</v>
          </cell>
        </row>
        <row r="35">
          <cell r="A35" t="str">
            <v>        2.权益法下不能转损益的其他综合收益</v>
          </cell>
        </row>
        <row r="35">
          <cell r="C35">
            <v>0</v>
          </cell>
          <cell r="D35">
            <v>0</v>
          </cell>
        </row>
        <row r="36">
          <cell r="A36" t="str">
            <v>        3.其他权益工具投资公允价值变动</v>
          </cell>
        </row>
        <row r="36">
          <cell r="C36">
            <v>0</v>
          </cell>
          <cell r="D36">
            <v>0</v>
          </cell>
        </row>
        <row r="37">
          <cell r="A37" t="str">
            <v>        4.企业自身信用风险公允价值变动</v>
          </cell>
        </row>
        <row r="37">
          <cell r="C37">
            <v>0</v>
          </cell>
          <cell r="D37">
            <v>0</v>
          </cell>
        </row>
        <row r="38">
          <cell r="A38" t="str">
            <v>        5.其他</v>
          </cell>
        </row>
        <row r="38">
          <cell r="C38">
            <v>0</v>
          </cell>
          <cell r="D38">
            <v>0</v>
          </cell>
        </row>
        <row r="39">
          <cell r="A39" t="str">
            <v>    （二）将重分类进损益的其他综合收益</v>
          </cell>
        </row>
        <row r="39">
          <cell r="C39">
            <v>0</v>
          </cell>
          <cell r="D39">
            <v>0</v>
          </cell>
        </row>
        <row r="40">
          <cell r="A40" t="str">
            <v>        1.权益法下可转损益的其他综合收益</v>
          </cell>
        </row>
        <row r="40">
          <cell r="C40">
            <v>0</v>
          </cell>
          <cell r="D40">
            <v>0</v>
          </cell>
        </row>
        <row r="41">
          <cell r="A41" t="str">
            <v>        2.其他债权投资公允价值变动</v>
          </cell>
        </row>
        <row r="41">
          <cell r="C41">
            <v>0</v>
          </cell>
          <cell r="D41">
            <v>0</v>
          </cell>
        </row>
        <row r="42">
          <cell r="A42" t="str">
            <v>        3.金融资产重分类计入其他综合收益的金额</v>
          </cell>
        </row>
        <row r="42">
          <cell r="C42">
            <v>0</v>
          </cell>
          <cell r="D42">
            <v>0</v>
          </cell>
        </row>
        <row r="43">
          <cell r="A43" t="str">
            <v>        4.其他债权投资信用减值准备</v>
          </cell>
        </row>
        <row r="43">
          <cell r="C43">
            <v>0</v>
          </cell>
          <cell r="D43">
            <v>0</v>
          </cell>
        </row>
        <row r="44">
          <cell r="A44" t="str">
            <v>        5.现金流量套期储备</v>
          </cell>
        </row>
        <row r="44">
          <cell r="C44">
            <v>0</v>
          </cell>
          <cell r="D44">
            <v>0</v>
          </cell>
        </row>
        <row r="45">
          <cell r="A45" t="str">
            <v>        6.外币财务报表折算差额</v>
          </cell>
        </row>
        <row r="45">
          <cell r="C45">
            <v>0</v>
          </cell>
          <cell r="D45">
            <v>0</v>
          </cell>
        </row>
        <row r="46">
          <cell r="A46" t="str">
            <v>        7.其他</v>
          </cell>
        </row>
        <row r="46">
          <cell r="C46">
            <v>0</v>
          </cell>
          <cell r="D46">
            <v>0</v>
          </cell>
        </row>
        <row r="47">
          <cell r="A47" t="str">
            <v>六、综合收益总额</v>
          </cell>
        </row>
        <row r="47">
          <cell r="C47">
            <v>-14194872.79</v>
          </cell>
          <cell r="D47">
            <v>-8498025.83</v>
          </cell>
        </row>
        <row r="48">
          <cell r="A48" t="str">
            <v>七、每股收益：</v>
          </cell>
        </row>
        <row r="48">
          <cell r="C48">
            <v>0</v>
          </cell>
          <cell r="D48">
            <v>0</v>
          </cell>
        </row>
        <row r="49">
          <cell r="A49" t="str">
            <v>    （一）基本每股收益</v>
          </cell>
        </row>
        <row r="49">
          <cell r="C49">
            <v>0</v>
          </cell>
          <cell r="D49">
            <v>0</v>
          </cell>
        </row>
        <row r="50">
          <cell r="A50" t="str">
            <v>    （二）稀释每股收益</v>
          </cell>
        </row>
        <row r="50">
          <cell r="C50">
            <v>0</v>
          </cell>
          <cell r="D50">
            <v>0</v>
          </cell>
        </row>
        <row r="51">
          <cell r="A51" t="str">
            <v>法定代表人：                      主管会计工作的负责人：                   会计机构负责人：</v>
          </cell>
        </row>
      </sheetData>
      <sheetData sheetId="6"/>
      <sheetData sheetId="7"/>
      <sheetData sheetId="8"/>
      <sheetData sheetId="9"/>
      <sheetData sheetId="10">
        <row r="6">
          <cell r="A6" t="str">
            <v>一、经营活动产生的现金流量：</v>
          </cell>
        </row>
        <row r="6">
          <cell r="C6">
            <v>0</v>
          </cell>
          <cell r="D6">
            <v>0</v>
          </cell>
        </row>
        <row r="7">
          <cell r="A7" t="str">
            <v>    销售商品、提供劳务收到的现金</v>
          </cell>
        </row>
        <row r="7">
          <cell r="C7">
            <v>0</v>
          </cell>
          <cell r="D7">
            <v>0</v>
          </cell>
        </row>
        <row r="18">
          <cell r="A18" t="str">
            <v>    收到的税费返还</v>
          </cell>
        </row>
        <row r="18">
          <cell r="C18">
            <v>0</v>
          </cell>
          <cell r="D18">
            <v>0</v>
          </cell>
        </row>
        <row r="19">
          <cell r="A19" t="str">
            <v>    收到其他与经营活动有关的现金</v>
          </cell>
        </row>
        <row r="19">
          <cell r="C19">
            <v>30146557.84</v>
          </cell>
          <cell r="D19">
            <v>30002514.7</v>
          </cell>
        </row>
        <row r="20">
          <cell r="A20" t="str">
            <v>      经营活动现金流入小计</v>
          </cell>
        </row>
        <row r="20">
          <cell r="C20">
            <v>30146557.84</v>
          </cell>
          <cell r="D20">
            <v>30002514.7</v>
          </cell>
        </row>
        <row r="21">
          <cell r="A21" t="str">
            <v>    购买商品、接受劳务支付的现金</v>
          </cell>
        </row>
        <row r="21">
          <cell r="C21">
            <v>78053738.9</v>
          </cell>
          <cell r="D21">
            <v>0</v>
          </cell>
        </row>
        <row r="29">
          <cell r="A29" t="str">
            <v>    支付给职工以及为职工支付的现金</v>
          </cell>
        </row>
        <row r="29">
          <cell r="C29">
            <v>0</v>
          </cell>
          <cell r="D29">
            <v>0</v>
          </cell>
        </row>
        <row r="30">
          <cell r="A30" t="str">
            <v>    支付的各项税费</v>
          </cell>
        </row>
        <row r="30">
          <cell r="C30">
            <v>0</v>
          </cell>
          <cell r="D30">
            <v>0</v>
          </cell>
        </row>
        <row r="31">
          <cell r="A31" t="str">
            <v>    支付其他与经营活动有关的现金</v>
          </cell>
        </row>
        <row r="31">
          <cell r="C31">
            <v>1623951205.42</v>
          </cell>
          <cell r="D31">
            <v>1127938667.52</v>
          </cell>
        </row>
        <row r="32">
          <cell r="A32" t="str">
            <v>      经营活动现金流出小计</v>
          </cell>
        </row>
        <row r="32">
          <cell r="C32">
            <v>1702004944.32</v>
          </cell>
          <cell r="D32">
            <v>1127938667.52</v>
          </cell>
        </row>
        <row r="33">
          <cell r="A33" t="str">
            <v>        经营活动产生的现金流量净额</v>
          </cell>
        </row>
        <row r="33">
          <cell r="C33">
            <v>-1671858386.48</v>
          </cell>
          <cell r="D33">
            <v>-1097936152.82</v>
          </cell>
        </row>
        <row r="34">
          <cell r="A34" t="str">
            <v>二、投资活动产生的现金流量：</v>
          </cell>
        </row>
        <row r="34">
          <cell r="C34">
            <v>0</v>
          </cell>
          <cell r="D34">
            <v>0</v>
          </cell>
        </row>
        <row r="35">
          <cell r="A35" t="str">
            <v>    收回投资收到的现金</v>
          </cell>
        </row>
        <row r="35">
          <cell r="C35">
            <v>0</v>
          </cell>
          <cell r="D35">
            <v>0</v>
          </cell>
        </row>
        <row r="36">
          <cell r="A36" t="str">
            <v>    取得投资收益收到的现金</v>
          </cell>
        </row>
        <row r="36">
          <cell r="C36">
            <v>0</v>
          </cell>
          <cell r="D36">
            <v>0</v>
          </cell>
        </row>
        <row r="37">
          <cell r="A37" t="str">
            <v>    处置固定资产、无形资产和其他长期资产收回的现金净额</v>
          </cell>
        </row>
        <row r="37">
          <cell r="C37">
            <v>0</v>
          </cell>
          <cell r="D37">
            <v>0</v>
          </cell>
        </row>
        <row r="38">
          <cell r="A38" t="str">
            <v>    处置子公司及其他营业单位收到的现金净额</v>
          </cell>
        </row>
        <row r="38">
          <cell r="C38">
            <v>0</v>
          </cell>
          <cell r="D38">
            <v>0</v>
          </cell>
        </row>
        <row r="39">
          <cell r="A39" t="str">
            <v>    收到其他与投资活动有关的现金</v>
          </cell>
        </row>
        <row r="39">
          <cell r="C39">
            <v>0</v>
          </cell>
          <cell r="D39">
            <v>0</v>
          </cell>
        </row>
        <row r="40">
          <cell r="A40" t="str">
            <v>      投资活动现金流入小计</v>
          </cell>
        </row>
        <row r="40">
          <cell r="C40">
            <v>0</v>
          </cell>
          <cell r="D40">
            <v>0</v>
          </cell>
        </row>
        <row r="41">
          <cell r="A41" t="str">
            <v>    购建固定资产、无形资产和其他长期资产支付的现金</v>
          </cell>
        </row>
        <row r="41">
          <cell r="C41">
            <v>0</v>
          </cell>
          <cell r="D41">
            <v>0</v>
          </cell>
        </row>
        <row r="42">
          <cell r="A42" t="str">
            <v>    投资支付的现金</v>
          </cell>
        </row>
        <row r="42">
          <cell r="C42">
            <v>0</v>
          </cell>
          <cell r="D42">
            <v>0</v>
          </cell>
        </row>
        <row r="44">
          <cell r="A44" t="str">
            <v>    取得子公司及其他营业单位支付的现金净额</v>
          </cell>
        </row>
        <row r="44">
          <cell r="C44">
            <v>0</v>
          </cell>
          <cell r="D44">
            <v>0</v>
          </cell>
        </row>
        <row r="45">
          <cell r="A45" t="str">
            <v>    支付其他与投资活动有关的现金</v>
          </cell>
        </row>
        <row r="45">
          <cell r="C45">
            <v>0</v>
          </cell>
          <cell r="D45">
            <v>0</v>
          </cell>
        </row>
        <row r="46">
          <cell r="A46" t="str">
            <v>      投资活动现金流出小计</v>
          </cell>
        </row>
        <row r="46">
          <cell r="C46">
            <v>0</v>
          </cell>
          <cell r="D46">
            <v>0</v>
          </cell>
        </row>
        <row r="47">
          <cell r="A47" t="str">
            <v>        投资活动产生的现金流量净额</v>
          </cell>
        </row>
        <row r="47">
          <cell r="C47">
            <v>0</v>
          </cell>
          <cell r="D47">
            <v>0</v>
          </cell>
        </row>
        <row r="48">
          <cell r="A48" t="str">
            <v>三、筹资活动产生的现金流量：</v>
          </cell>
        </row>
        <row r="48">
          <cell r="C48">
            <v>0</v>
          </cell>
          <cell r="D48">
            <v>0</v>
          </cell>
        </row>
        <row r="49">
          <cell r="A49" t="str">
            <v>    吸收投资收到的现金</v>
          </cell>
        </row>
        <row r="49">
          <cell r="C49">
            <v>0</v>
          </cell>
          <cell r="D49">
            <v>0</v>
          </cell>
        </row>
        <row r="50">
          <cell r="A50" t="str">
            <v>    其中：子公司吸收少数股东投资收到的现金</v>
          </cell>
        </row>
        <row r="50">
          <cell r="D50">
            <v>300000000</v>
          </cell>
        </row>
        <row r="51">
          <cell r="A51" t="str">
            <v>    取得借款收到的现金</v>
          </cell>
        </row>
        <row r="51">
          <cell r="C51">
            <v>2271100000</v>
          </cell>
        </row>
        <row r="53">
          <cell r="A53" t="str">
            <v>    收到其他与筹资活动有关的现金</v>
          </cell>
        </row>
        <row r="53">
          <cell r="C53">
            <v>0</v>
          </cell>
          <cell r="D53">
            <v>1000000000</v>
          </cell>
        </row>
        <row r="54">
          <cell r="A54" t="str">
            <v>      筹资活动现金流入小计</v>
          </cell>
        </row>
        <row r="54">
          <cell r="C54">
            <v>2271100000</v>
          </cell>
          <cell r="D54">
            <v>1300000000</v>
          </cell>
        </row>
        <row r="55">
          <cell r="A55" t="str">
            <v>    偿还债务支付的现金</v>
          </cell>
        </row>
        <row r="55">
          <cell r="C55">
            <v>155297461.98</v>
          </cell>
          <cell r="D55">
            <v>189406575.34</v>
          </cell>
        </row>
        <row r="56">
          <cell r="A56" t="str">
            <v>    分配股利、利润或偿付利息支付的现金</v>
          </cell>
        </row>
        <row r="56">
          <cell r="C56">
            <v>94044377.12</v>
          </cell>
          <cell r="D56">
            <v>9535767.37999995</v>
          </cell>
        </row>
        <row r="58">
          <cell r="A58" t="str">
            <v>    支付其他与筹资活动有关的现金</v>
          </cell>
        </row>
        <row r="58">
          <cell r="C58">
            <v>0</v>
          </cell>
          <cell r="D58">
            <v>0</v>
          </cell>
        </row>
        <row r="59">
          <cell r="A59" t="str">
            <v>      筹资活动现金流出小计</v>
          </cell>
        </row>
        <row r="59">
          <cell r="C59">
            <v>249341839.1</v>
          </cell>
          <cell r="D59">
            <v>198942342.72</v>
          </cell>
        </row>
        <row r="60">
          <cell r="A60" t="str">
            <v>        筹资活动产生的现金流量净额</v>
          </cell>
        </row>
        <row r="60">
          <cell r="C60">
            <v>2021758160.9</v>
          </cell>
          <cell r="D60">
            <v>1101057657.28</v>
          </cell>
        </row>
        <row r="61">
          <cell r="A61" t="str">
            <v>四、汇率变动对现金及现金等价物的影响</v>
          </cell>
        </row>
        <row r="61">
          <cell r="C61">
            <v>0</v>
          </cell>
          <cell r="D61">
            <v>0</v>
          </cell>
        </row>
        <row r="62">
          <cell r="A62" t="str">
            <v>五、现金及现金等价物净增加额</v>
          </cell>
        </row>
        <row r="62">
          <cell r="C62">
            <v>349899774.42</v>
          </cell>
          <cell r="D62">
            <v>3121504.45999956</v>
          </cell>
        </row>
        <row r="63">
          <cell r="A63" t="str">
            <v>    加：期初现金及现金等价物余额</v>
          </cell>
        </row>
        <row r="63">
          <cell r="C63">
            <v>2090972.98</v>
          </cell>
          <cell r="D63">
            <v>844903.55</v>
          </cell>
        </row>
        <row r="64">
          <cell r="A64" t="str">
            <v>六、期末现金及现金等价物余额</v>
          </cell>
        </row>
        <row r="64">
          <cell r="C64">
            <v>351990747.4</v>
          </cell>
          <cell r="D64">
            <v>3966408.00999999</v>
          </cell>
        </row>
        <row r="65">
          <cell r="A65" t="str">
            <v>法定代表人：                        主管会计工作的负责人：                      会计机构负责人：</v>
          </cell>
        </row>
      </sheetData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合并资产负债表"/>
      <sheetName val="合并利润表 "/>
      <sheetName val="合并现金流量表 "/>
      <sheetName val="合并所有者权益变动表 "/>
      <sheetName val="资产负债表"/>
      <sheetName val="利润表"/>
      <sheetName val="现金流量表"/>
      <sheetName val="所有者权益变动表"/>
    </sheetNames>
    <sheetDataSet>
      <sheetData sheetId="0">
        <row r="6">
          <cell r="C6">
            <v>2031843411.39</v>
          </cell>
        </row>
        <row r="6">
          <cell r="G6">
            <v>4150707378.39</v>
          </cell>
        </row>
        <row r="7">
          <cell r="C7">
            <v>0</v>
          </cell>
        </row>
        <row r="7">
          <cell r="G7">
            <v>0</v>
          </cell>
        </row>
        <row r="8">
          <cell r="C8">
            <v>0</v>
          </cell>
        </row>
        <row r="8">
          <cell r="G8">
            <v>0</v>
          </cell>
        </row>
        <row r="9">
          <cell r="C9">
            <v>0</v>
          </cell>
        </row>
        <row r="9">
          <cell r="G9">
            <v>73661437.88</v>
          </cell>
        </row>
        <row r="10">
          <cell r="C10">
            <v>1751471400.35</v>
          </cell>
        </row>
        <row r="10">
          <cell r="G10">
            <v>520872399.86</v>
          </cell>
        </row>
        <row r="11">
          <cell r="C11">
            <v>0</v>
          </cell>
        </row>
        <row r="11">
          <cell r="G11">
            <v>4966407.9</v>
          </cell>
        </row>
        <row r="12">
          <cell r="C12">
            <v>625580745.23</v>
          </cell>
        </row>
        <row r="12">
          <cell r="G12">
            <v>466272584.95</v>
          </cell>
        </row>
        <row r="13">
          <cell r="C13">
            <v>7387105252.21</v>
          </cell>
        </row>
        <row r="13">
          <cell r="G13">
            <v>13475143.98</v>
          </cell>
        </row>
        <row r="14">
          <cell r="G14">
            <v>232708417.29</v>
          </cell>
        </row>
        <row r="15">
          <cell r="G15">
            <v>9247159364.22</v>
          </cell>
        </row>
        <row r="16">
          <cell r="C16">
            <v>69289470415.64</v>
          </cell>
        </row>
        <row r="17">
          <cell r="C17">
            <v>0</v>
          </cell>
        </row>
        <row r="18">
          <cell r="C18">
            <v>0</v>
          </cell>
        </row>
        <row r="18">
          <cell r="G18">
            <v>0</v>
          </cell>
        </row>
        <row r="19">
          <cell r="C19">
            <v>0</v>
          </cell>
        </row>
        <row r="19">
          <cell r="G19">
            <v>7027094418.21</v>
          </cell>
        </row>
        <row r="20">
          <cell r="C20">
            <v>292539503.99</v>
          </cell>
        </row>
        <row r="20">
          <cell r="G20">
            <v>48812956.74</v>
          </cell>
        </row>
        <row r="23">
          <cell r="C23">
            <v>0</v>
          </cell>
        </row>
        <row r="23">
          <cell r="G23">
            <v>25288171407.1</v>
          </cell>
        </row>
        <row r="24">
          <cell r="C24">
            <v>0</v>
          </cell>
        </row>
        <row r="24">
          <cell r="G24">
            <v>12158848133.56</v>
          </cell>
        </row>
        <row r="25">
          <cell r="C25">
            <v>725450535.97</v>
          </cell>
        </row>
        <row r="26">
          <cell r="C26">
            <v>192008781.83</v>
          </cell>
        </row>
        <row r="27">
          <cell r="C27">
            <v>2663029606.71</v>
          </cell>
        </row>
        <row r="27">
          <cell r="G27">
            <v>6676196.28</v>
          </cell>
        </row>
        <row r="28">
          <cell r="C28">
            <v>0</v>
          </cell>
        </row>
        <row r="28">
          <cell r="G28">
            <v>7048606282.23</v>
          </cell>
        </row>
        <row r="29">
          <cell r="C29">
            <v>1345179539</v>
          </cell>
        </row>
        <row r="29">
          <cell r="G29">
            <v>0</v>
          </cell>
        </row>
        <row r="30">
          <cell r="C30">
            <v>1226109865</v>
          </cell>
        </row>
        <row r="30">
          <cell r="G30">
            <v>0</v>
          </cell>
        </row>
        <row r="31">
          <cell r="C31">
            <v>129036605.76</v>
          </cell>
        </row>
        <row r="31">
          <cell r="G31">
            <v>70329489.78</v>
          </cell>
        </row>
        <row r="32">
          <cell r="C32">
            <v>0</v>
          </cell>
        </row>
        <row r="32">
          <cell r="G32">
            <v>150247518.01</v>
          </cell>
        </row>
        <row r="33">
          <cell r="C33">
            <v>0</v>
          </cell>
        </row>
        <row r="33">
          <cell r="G33">
            <v>0</v>
          </cell>
        </row>
        <row r="34">
          <cell r="C34">
            <v>9828455.43</v>
          </cell>
        </row>
        <row r="35">
          <cell r="C35">
            <v>8558889529.74</v>
          </cell>
        </row>
        <row r="36">
          <cell r="C36">
            <v>0</v>
          </cell>
        </row>
        <row r="37">
          <cell r="C37">
            <v>0</v>
          </cell>
        </row>
        <row r="37">
          <cell r="G37">
            <v>1500000000</v>
          </cell>
        </row>
        <row r="38">
          <cell r="C38">
            <v>100943768.35</v>
          </cell>
        </row>
        <row r="38">
          <cell r="G38">
            <v>0</v>
          </cell>
        </row>
        <row r="39">
          <cell r="C39">
            <v>21459415.91</v>
          </cell>
        </row>
        <row r="40">
          <cell r="C40">
            <v>799001940.03</v>
          </cell>
        </row>
        <row r="41">
          <cell r="G41">
            <v>21059068253.46</v>
          </cell>
        </row>
        <row r="42">
          <cell r="G42">
            <v>0</v>
          </cell>
        </row>
        <row r="43">
          <cell r="G43">
            <v>390962134.89</v>
          </cell>
        </row>
        <row r="44">
          <cell r="G44">
            <v>6141337.51</v>
          </cell>
        </row>
        <row r="45">
          <cell r="G45">
            <v>70332998.57</v>
          </cell>
        </row>
        <row r="46">
          <cell r="G46">
            <v>2539928496.62</v>
          </cell>
        </row>
        <row r="47">
          <cell r="G47">
            <v>25566433221.05</v>
          </cell>
        </row>
        <row r="48">
          <cell r="G48">
            <v>5073906015.11</v>
          </cell>
        </row>
      </sheetData>
      <sheetData sheetId="1"/>
      <sheetData sheetId="2"/>
      <sheetData sheetId="3">
        <row r="36">
          <cell r="B36">
            <v>1500000000</v>
          </cell>
          <cell r="C36">
            <v>0</v>
          </cell>
          <cell r="D36">
            <v>0</v>
          </cell>
          <cell r="E36">
            <v>0</v>
          </cell>
          <cell r="F36">
            <v>21059068253.46</v>
          </cell>
          <cell r="G36">
            <v>0</v>
          </cell>
          <cell r="H36">
            <v>390962134.89</v>
          </cell>
          <cell r="I36">
            <v>6141337.51</v>
          </cell>
          <cell r="J36">
            <v>70332998.57</v>
          </cell>
          <cell r="K36">
            <v>2539928496.62</v>
          </cell>
        </row>
      </sheetData>
      <sheetData sheetId="4">
        <row r="6">
          <cell r="C6">
            <v>2090972.98</v>
          </cell>
        </row>
        <row r="6">
          <cell r="G6">
            <v>300412500</v>
          </cell>
        </row>
        <row r="7">
          <cell r="C7">
            <v>0</v>
          </cell>
        </row>
        <row r="7">
          <cell r="G7">
            <v>0</v>
          </cell>
        </row>
        <row r="8">
          <cell r="C8">
            <v>0</v>
          </cell>
        </row>
        <row r="9">
          <cell r="C9">
            <v>0</v>
          </cell>
        </row>
        <row r="9">
          <cell r="G9">
            <v>0</v>
          </cell>
        </row>
        <row r="10">
          <cell r="C10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C12">
            <v>0</v>
          </cell>
        </row>
        <row r="12">
          <cell r="G12">
            <v>0</v>
          </cell>
        </row>
        <row r="13">
          <cell r="C13">
            <v>4550427312.83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43000000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8">
          <cell r="G18">
            <v>0</v>
          </cell>
        </row>
        <row r="19">
          <cell r="C19">
            <v>0</v>
          </cell>
        </row>
        <row r="19">
          <cell r="G19">
            <v>156615067.08</v>
          </cell>
        </row>
        <row r="20">
          <cell r="C20">
            <v>0</v>
          </cell>
        </row>
        <row r="20">
          <cell r="G20">
            <v>0</v>
          </cell>
        </row>
        <row r="23">
          <cell r="C23">
            <v>0</v>
          </cell>
        </row>
        <row r="23">
          <cell r="G23">
            <v>292500000</v>
          </cell>
        </row>
        <row r="24">
          <cell r="C24">
            <v>0</v>
          </cell>
        </row>
        <row r="24">
          <cell r="G24">
            <v>3773382750</v>
          </cell>
        </row>
        <row r="25">
          <cell r="C25">
            <v>3000000</v>
          </cell>
        </row>
        <row r="25">
          <cell r="G25">
            <v>0</v>
          </cell>
        </row>
        <row r="26">
          <cell r="C26">
            <v>23722029220.13</v>
          </cell>
        </row>
        <row r="26">
          <cell r="G26">
            <v>0</v>
          </cell>
        </row>
        <row r="27">
          <cell r="C27">
            <v>0</v>
          </cell>
        </row>
        <row r="27">
          <cell r="G27">
            <v>0</v>
          </cell>
        </row>
        <row r="28">
          <cell r="C28">
            <v>0</v>
          </cell>
        </row>
        <row r="28">
          <cell r="G28">
            <v>0</v>
          </cell>
        </row>
        <row r="29">
          <cell r="C29">
            <v>0</v>
          </cell>
        </row>
        <row r="29">
          <cell r="G29">
            <v>0</v>
          </cell>
        </row>
        <row r="30">
          <cell r="C30">
            <v>0</v>
          </cell>
        </row>
        <row r="30">
          <cell r="G30">
            <v>0</v>
          </cell>
        </row>
        <row r="31">
          <cell r="C31">
            <v>0</v>
          </cell>
        </row>
        <row r="31">
          <cell r="G31">
            <v>0</v>
          </cell>
        </row>
        <row r="32">
          <cell r="C32">
            <v>0</v>
          </cell>
        </row>
        <row r="32">
          <cell r="G32">
            <v>0</v>
          </cell>
        </row>
        <row r="33">
          <cell r="C33">
            <v>0</v>
          </cell>
        </row>
        <row r="33">
          <cell r="G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7">
          <cell r="G37">
            <v>1500000000</v>
          </cell>
        </row>
        <row r="38">
          <cell r="C38">
            <v>0</v>
          </cell>
        </row>
        <row r="38">
          <cell r="G38">
            <v>0</v>
          </cell>
        </row>
        <row r="39">
          <cell r="C39">
            <v>12500</v>
          </cell>
        </row>
        <row r="39">
          <cell r="G39">
            <v>0</v>
          </cell>
        </row>
        <row r="40">
          <cell r="C40">
            <v>0</v>
          </cell>
        </row>
        <row r="40">
          <cell r="G40">
            <v>0</v>
          </cell>
        </row>
        <row r="41">
          <cell r="G41">
            <v>22232029220.13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-20379531.27</v>
          </cell>
        </row>
      </sheetData>
      <sheetData sheetId="5"/>
      <sheetData sheetId="6"/>
      <sheetData sheetId="7">
        <row r="34">
          <cell r="B34">
            <v>1500000000</v>
          </cell>
          <cell r="C34">
            <v>0</v>
          </cell>
          <cell r="D34">
            <v>0</v>
          </cell>
          <cell r="E34">
            <v>0</v>
          </cell>
          <cell r="F34">
            <v>22232029220.13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-20379531.27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合并资产负债表"/>
      <sheetName val="合并利润表 "/>
      <sheetName val="合并现金流量表 "/>
      <sheetName val="合并所有者权益变动表 "/>
      <sheetName val="资产负债表"/>
      <sheetName val="利润表"/>
      <sheetName val="现金流量表"/>
      <sheetName val="所有者权益变动表"/>
    </sheetNames>
    <sheetDataSet>
      <sheetData sheetId="0"/>
      <sheetData sheetId="1">
        <row r="6">
          <cell r="C6">
            <v>370400731.91</v>
          </cell>
        </row>
        <row r="8">
          <cell r="C8">
            <v>396923613.37</v>
          </cell>
        </row>
        <row r="9">
          <cell r="C9">
            <v>18224409.21</v>
          </cell>
        </row>
        <row r="10">
          <cell r="C10">
            <v>6807576.72</v>
          </cell>
        </row>
        <row r="11">
          <cell r="C11">
            <v>314444199.68</v>
          </cell>
        </row>
        <row r="12">
          <cell r="C12">
            <v>0</v>
          </cell>
        </row>
        <row r="13">
          <cell r="C13">
            <v>43842097.3</v>
          </cell>
        </row>
        <row r="14">
          <cell r="C14">
            <v>64759711.95</v>
          </cell>
        </row>
        <row r="15">
          <cell r="C15">
            <v>23214453.35</v>
          </cell>
        </row>
        <row r="16">
          <cell r="C16">
            <v>408274694.86</v>
          </cell>
        </row>
        <row r="17">
          <cell r="C17">
            <v>-2277170.47</v>
          </cell>
        </row>
        <row r="21">
          <cell r="C21">
            <v>-1448948.75</v>
          </cell>
        </row>
        <row r="22">
          <cell r="C22">
            <v>-14003595.69</v>
          </cell>
        </row>
        <row r="23">
          <cell r="C23">
            <v>0</v>
          </cell>
        </row>
        <row r="24">
          <cell r="C24">
            <v>-25782661.4</v>
          </cell>
        </row>
        <row r="26">
          <cell r="C26">
            <v>1589001.99</v>
          </cell>
        </row>
        <row r="27">
          <cell r="C27">
            <v>5894964.94</v>
          </cell>
        </row>
        <row r="29">
          <cell r="C29">
            <v>195316.56</v>
          </cell>
        </row>
        <row r="32">
          <cell r="C32">
            <v>-49580125.33</v>
          </cell>
        </row>
        <row r="35">
          <cell r="C35">
            <v>-30312430.11</v>
          </cell>
        </row>
        <row r="36">
          <cell r="C36">
            <v>-19267695.22</v>
          </cell>
        </row>
      </sheetData>
      <sheetData sheetId="2">
        <row r="6">
          <cell r="C6">
            <v>754487645.32</v>
          </cell>
        </row>
        <row r="7">
          <cell r="C7">
            <v>30930.9</v>
          </cell>
        </row>
        <row r="8">
          <cell r="C8">
            <v>6452727717.26</v>
          </cell>
        </row>
        <row r="10">
          <cell r="C10">
            <v>4235920246.62146</v>
          </cell>
        </row>
        <row r="11">
          <cell r="C11">
            <v>51065421.55</v>
          </cell>
        </row>
        <row r="12">
          <cell r="C12">
            <v>60006707.45</v>
          </cell>
        </row>
        <row r="13">
          <cell r="C13">
            <v>4743143780.79854</v>
          </cell>
        </row>
        <row r="17">
          <cell r="C17">
            <v>127710000</v>
          </cell>
        </row>
        <row r="18">
          <cell r="C18">
            <v>2306694.0899998</v>
          </cell>
        </row>
        <row r="19">
          <cell r="C19">
            <v>2071671.17</v>
          </cell>
        </row>
        <row r="20">
          <cell r="C20">
            <v>300000000</v>
          </cell>
        </row>
        <row r="21">
          <cell r="C21">
            <v>0</v>
          </cell>
        </row>
        <row r="23">
          <cell r="C23">
            <v>1223711257.17</v>
          </cell>
        </row>
        <row r="24">
          <cell r="C24">
            <v>61219933.25</v>
          </cell>
        </row>
        <row r="25">
          <cell r="C25">
            <v>3500000</v>
          </cell>
        </row>
        <row r="26">
          <cell r="C26">
            <v>0</v>
          </cell>
        </row>
        <row r="30">
          <cell r="C30">
            <v>6504200</v>
          </cell>
        </row>
        <row r="32">
          <cell r="C32">
            <v>7343616242.52</v>
          </cell>
        </row>
        <row r="33">
          <cell r="C33">
            <v>2369755779</v>
          </cell>
        </row>
        <row r="35">
          <cell r="C35">
            <v>4612613164.77</v>
          </cell>
        </row>
        <row r="36">
          <cell r="C36">
            <v>920660794.22</v>
          </cell>
        </row>
        <row r="38">
          <cell r="C38">
            <v>1294303968.2</v>
          </cell>
        </row>
        <row r="43">
          <cell r="C43">
            <v>3463221321.84</v>
          </cell>
        </row>
      </sheetData>
      <sheetData sheetId="3">
        <row r="8">
          <cell r="B8">
            <v>1500000000</v>
          </cell>
        </row>
        <row r="8">
          <cell r="F8">
            <v>23194191732.48</v>
          </cell>
        </row>
        <row r="8">
          <cell r="H8">
            <v>383347120.14</v>
          </cell>
          <cell r="I8">
            <v>1869008.31</v>
          </cell>
          <cell r="J8">
            <v>70332998.57</v>
          </cell>
          <cell r="K8">
            <v>2519948312.24</v>
          </cell>
          <cell r="L8">
            <v>27669689171.74</v>
          </cell>
          <cell r="M8">
            <v>4774924549.93</v>
          </cell>
          <cell r="N8">
            <v>32444613721.67</v>
          </cell>
        </row>
        <row r="9">
          <cell r="L9">
            <v>0</v>
          </cell>
        </row>
        <row r="9">
          <cell r="N9">
            <v>0</v>
          </cell>
        </row>
        <row r="10">
          <cell r="L10">
            <v>0</v>
          </cell>
        </row>
        <row r="10">
          <cell r="N10">
            <v>0</v>
          </cell>
        </row>
        <row r="11">
          <cell r="L11">
            <v>0</v>
          </cell>
        </row>
        <row r="11">
          <cell r="N11">
            <v>0</v>
          </cell>
        </row>
        <row r="12">
          <cell r="L12">
            <v>0</v>
          </cell>
        </row>
        <row r="12">
          <cell r="N12">
            <v>0</v>
          </cell>
        </row>
        <row r="13">
          <cell r="B13">
            <v>1500000000</v>
          </cell>
          <cell r="C13">
            <v>0</v>
          </cell>
          <cell r="D13">
            <v>0</v>
          </cell>
          <cell r="E13">
            <v>0</v>
          </cell>
          <cell r="F13">
            <v>23194191732.48</v>
          </cell>
          <cell r="G13">
            <v>0</v>
          </cell>
          <cell r="H13">
            <v>383347120.14</v>
          </cell>
          <cell r="I13">
            <v>1869008.31</v>
          </cell>
          <cell r="J13">
            <v>70332998.57</v>
          </cell>
          <cell r="K13">
            <v>2519948312.24</v>
          </cell>
          <cell r="L13">
            <v>27669689171.74</v>
          </cell>
          <cell r="M13">
            <v>4774924549.93</v>
          </cell>
          <cell r="N13">
            <v>32444613721.67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-296473836.369999</v>
          </cell>
          <cell r="G14">
            <v>0</v>
          </cell>
          <cell r="H14">
            <v>7615014.75</v>
          </cell>
          <cell r="I14">
            <v>1601724.2</v>
          </cell>
          <cell r="J14">
            <v>0</v>
          </cell>
          <cell r="K14">
            <v>-30312430.11</v>
          </cell>
          <cell r="L14">
            <v>-317569527.529999</v>
          </cell>
          <cell r="M14">
            <v>166225523.78</v>
          </cell>
          <cell r="N14">
            <v>-151344003.749999</v>
          </cell>
        </row>
        <row r="15">
          <cell r="H15">
            <v>0</v>
          </cell>
        </row>
        <row r="15">
          <cell r="K15">
            <v>-30312430.11</v>
          </cell>
          <cell r="L15">
            <v>-30312430.11</v>
          </cell>
          <cell r="M15">
            <v>-19267695.22</v>
          </cell>
          <cell r="N15">
            <v>-49580125.33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-296473836.369999</v>
          </cell>
          <cell r="G16">
            <v>0</v>
          </cell>
          <cell r="H16">
            <v>7615014.75</v>
          </cell>
          <cell r="I16">
            <v>0</v>
          </cell>
          <cell r="J16">
            <v>0</v>
          </cell>
          <cell r="K16">
            <v>0</v>
          </cell>
          <cell r="L16">
            <v>-288858821.619999</v>
          </cell>
          <cell r="M16">
            <v>185493219</v>
          </cell>
          <cell r="N16">
            <v>-103365602.619999</v>
          </cell>
        </row>
        <row r="17">
          <cell r="L17">
            <v>0</v>
          </cell>
          <cell r="M17">
            <v>0</v>
          </cell>
          <cell r="N17">
            <v>0</v>
          </cell>
        </row>
        <row r="18">
          <cell r="L18">
            <v>0</v>
          </cell>
        </row>
        <row r="18">
          <cell r="N18">
            <v>0</v>
          </cell>
        </row>
        <row r="19">
          <cell r="L19">
            <v>0</v>
          </cell>
        </row>
        <row r="19">
          <cell r="N19">
            <v>0</v>
          </cell>
        </row>
        <row r="20">
          <cell r="F20">
            <v>-296473836.369999</v>
          </cell>
        </row>
        <row r="20">
          <cell r="H20">
            <v>7615014.75</v>
          </cell>
        </row>
        <row r="20">
          <cell r="L20">
            <v>-288858821.619999</v>
          </cell>
          <cell r="M20">
            <v>185493219</v>
          </cell>
          <cell r="N20">
            <v>-103365602.619999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</row>
        <row r="22">
          <cell r="N22">
            <v>0</v>
          </cell>
        </row>
        <row r="23">
          <cell r="L23">
            <v>0</v>
          </cell>
        </row>
        <row r="23">
          <cell r="N23">
            <v>0</v>
          </cell>
        </row>
        <row r="24">
          <cell r="K24">
            <v>0</v>
          </cell>
          <cell r="L24">
            <v>0</v>
          </cell>
        </row>
        <row r="24">
          <cell r="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L26">
            <v>0</v>
          </cell>
        </row>
        <row r="26">
          <cell r="N26">
            <v>0</v>
          </cell>
        </row>
        <row r="27">
          <cell r="L27">
            <v>0</v>
          </cell>
        </row>
        <row r="27">
          <cell r="N27">
            <v>0</v>
          </cell>
        </row>
        <row r="28">
          <cell r="L28">
            <v>0</v>
          </cell>
        </row>
        <row r="28">
          <cell r="N28">
            <v>0</v>
          </cell>
        </row>
        <row r="29">
          <cell r="L29">
            <v>0</v>
          </cell>
        </row>
        <row r="29">
          <cell r="N29">
            <v>0</v>
          </cell>
        </row>
        <row r="30">
          <cell r="L30">
            <v>0</v>
          </cell>
        </row>
        <row r="30">
          <cell r="N30">
            <v>0</v>
          </cell>
        </row>
        <row r="31">
          <cell r="L31">
            <v>0</v>
          </cell>
        </row>
        <row r="31">
          <cell r="N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1601724.2</v>
          </cell>
          <cell r="J32">
            <v>0</v>
          </cell>
          <cell r="K32">
            <v>0</v>
          </cell>
          <cell r="L32">
            <v>1601724.2</v>
          </cell>
          <cell r="M32">
            <v>0</v>
          </cell>
          <cell r="N32">
            <v>1601724.2</v>
          </cell>
        </row>
        <row r="33">
          <cell r="I33">
            <v>1851107.89</v>
          </cell>
        </row>
        <row r="33">
          <cell r="L33">
            <v>1851107.89</v>
          </cell>
        </row>
        <row r="33">
          <cell r="N33">
            <v>1851107.89</v>
          </cell>
        </row>
        <row r="34">
          <cell r="I34">
            <v>249383.69</v>
          </cell>
        </row>
        <row r="34">
          <cell r="L34">
            <v>249383.69</v>
          </cell>
        </row>
        <row r="34">
          <cell r="N34">
            <v>249383.69</v>
          </cell>
        </row>
        <row r="35">
          <cell r="N35">
            <v>0</v>
          </cell>
        </row>
        <row r="36">
          <cell r="B36">
            <v>1500000000</v>
          </cell>
          <cell r="C36">
            <v>0</v>
          </cell>
          <cell r="D36">
            <v>0</v>
          </cell>
          <cell r="E36">
            <v>0</v>
          </cell>
          <cell r="F36">
            <v>22897717896.11</v>
          </cell>
          <cell r="G36">
            <v>0</v>
          </cell>
          <cell r="H36">
            <v>390962134.89</v>
          </cell>
          <cell r="I36">
            <v>3470732.51</v>
          </cell>
          <cell r="J36">
            <v>70332998.57</v>
          </cell>
          <cell r="K36">
            <v>2489635882.13</v>
          </cell>
          <cell r="L36">
            <v>27352119644.21</v>
          </cell>
          <cell r="M36">
            <v>4941150073.71</v>
          </cell>
          <cell r="N36">
            <v>32293269717.92</v>
          </cell>
        </row>
      </sheetData>
      <sheetData sheetId="4"/>
      <sheetData sheetId="5"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150000</v>
          </cell>
        </row>
        <row r="10">
          <cell r="C10">
            <v>0</v>
          </cell>
        </row>
        <row r="11">
          <cell r="C11">
            <v>3318061.29</v>
          </cell>
        </row>
        <row r="14">
          <cell r="C14">
            <v>0</v>
          </cell>
        </row>
        <row r="15">
          <cell r="C15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5">
          <cell r="C25">
            <v>0</v>
          </cell>
        </row>
        <row r="29">
          <cell r="C29">
            <v>-3468061.29</v>
          </cell>
        </row>
      </sheetData>
      <sheetData sheetId="6">
        <row r="6">
          <cell r="C6">
            <v>0</v>
          </cell>
        </row>
        <row r="7">
          <cell r="C7">
            <v>0</v>
          </cell>
        </row>
        <row r="8">
          <cell r="C8">
            <v>30002514.7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1127938667.52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30">
          <cell r="C30">
            <v>0</v>
          </cell>
        </row>
        <row r="31">
          <cell r="C31">
            <v>300000000</v>
          </cell>
        </row>
        <row r="32">
          <cell r="C32">
            <v>1000000000</v>
          </cell>
        </row>
        <row r="34">
          <cell r="C34">
            <v>189406575.34</v>
          </cell>
        </row>
        <row r="35">
          <cell r="C35">
            <v>9535767.37999995</v>
          </cell>
        </row>
        <row r="36">
          <cell r="C36">
            <v>0</v>
          </cell>
        </row>
        <row r="41">
          <cell r="C41">
            <v>844903.55</v>
          </cell>
        </row>
      </sheetData>
      <sheetData sheetId="7">
        <row r="7">
          <cell r="B7">
            <v>1500000000</v>
          </cell>
          <cell r="C7">
            <v>0</v>
          </cell>
          <cell r="D7">
            <v>0</v>
          </cell>
          <cell r="E7">
            <v>0</v>
          </cell>
          <cell r="F7">
            <v>22232029220.13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-11881505.44</v>
          </cell>
          <cell r="L7">
            <v>23720147714.69</v>
          </cell>
        </row>
        <row r="8">
          <cell r="L8">
            <v>0</v>
          </cell>
        </row>
        <row r="9">
          <cell r="L9">
            <v>0</v>
          </cell>
        </row>
        <row r="10">
          <cell r="L10">
            <v>0</v>
          </cell>
        </row>
        <row r="11">
          <cell r="B11">
            <v>1500000000</v>
          </cell>
          <cell r="C11">
            <v>0</v>
          </cell>
          <cell r="D11">
            <v>0</v>
          </cell>
          <cell r="E11">
            <v>0</v>
          </cell>
          <cell r="F11">
            <v>22232029220.13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-11881505.44</v>
          </cell>
          <cell r="L11">
            <v>23720147714.69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-3468061.29</v>
          </cell>
          <cell r="L12">
            <v>-3468061.29</v>
          </cell>
        </row>
        <row r="13">
          <cell r="H13">
            <v>0</v>
          </cell>
        </row>
        <row r="13">
          <cell r="K13">
            <v>-3468061.29</v>
          </cell>
          <cell r="L13">
            <v>-3468061.29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F18">
            <v>0</v>
          </cell>
        </row>
        <row r="18">
          <cell r="H18">
            <v>0</v>
          </cell>
        </row>
        <row r="18">
          <cell r="L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L31">
            <v>0</v>
          </cell>
        </row>
        <row r="32">
          <cell r="L32">
            <v>0</v>
          </cell>
        </row>
        <row r="33">
          <cell r="L33">
            <v>0</v>
          </cell>
        </row>
        <row r="34">
          <cell r="B34">
            <v>1500000000</v>
          </cell>
          <cell r="C34">
            <v>0</v>
          </cell>
          <cell r="D34">
            <v>0</v>
          </cell>
          <cell r="E34">
            <v>0</v>
          </cell>
          <cell r="F34">
            <v>22232029220.13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-15349566.73</v>
          </cell>
          <cell r="L34">
            <v>23716679653.4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N60"/>
  <sheetViews>
    <sheetView showZeros="0" view="pageBreakPreview" zoomScale="90" zoomScaleNormal="100" workbookViewId="0">
      <selection activeCell="E10" sqref="E10"/>
    </sheetView>
  </sheetViews>
  <sheetFormatPr defaultColWidth="9" defaultRowHeight="13.1" customHeight="1"/>
  <cols>
    <col min="1" max="1" width="23.5666666666667" style="85" customWidth="1"/>
    <col min="2" max="2" width="13.7833333333333" style="85" customWidth="1"/>
    <col min="3" max="3" width="18.2083333333333" style="85" customWidth="1"/>
    <col min="4" max="4" width="19.5" style="85" customWidth="1"/>
    <col min="5" max="5" width="23.5666666666667" style="243" customWidth="1"/>
    <col min="6" max="6" width="14.7833333333333" style="243" customWidth="1"/>
    <col min="7" max="7" width="17.7833333333333" style="243" customWidth="1"/>
    <col min="8" max="8" width="19.0666666666667" style="243" customWidth="1"/>
    <col min="9" max="10" width="15.2083333333333" style="85" customWidth="1"/>
    <col min="11" max="11" width="5.28333333333333" style="85" customWidth="1"/>
    <col min="12" max="12" width="16.7833333333333" style="108" customWidth="1"/>
    <col min="13" max="13" width="9.06666666666667" style="85" customWidth="1"/>
    <col min="14" max="14" width="11.5" style="85" customWidth="1"/>
    <col min="15" max="16384" width="9" style="85"/>
  </cols>
  <sheetData>
    <row r="1" s="239" customFormat="1" ht="20.25" customHeight="1" spans="1:12">
      <c r="A1" s="244" t="s">
        <v>0</v>
      </c>
      <c r="B1" s="244"/>
      <c r="C1" s="244"/>
      <c r="D1" s="244"/>
      <c r="E1" s="244"/>
      <c r="F1" s="244"/>
      <c r="G1" s="244"/>
      <c r="H1" s="244"/>
      <c r="J1" s="44"/>
      <c r="L1" s="267"/>
    </row>
    <row r="2" s="239" customFormat="1" ht="20.25" customHeight="1" spans="1:12">
      <c r="A2" s="245">
        <v>45838</v>
      </c>
      <c r="B2" s="245"/>
      <c r="C2" s="245"/>
      <c r="D2" s="245"/>
      <c r="E2" s="245"/>
      <c r="F2" s="245"/>
      <c r="G2" s="245"/>
      <c r="H2" s="245"/>
      <c r="J2" s="44"/>
      <c r="L2" s="267"/>
    </row>
    <row r="3" s="240" customFormat="1" ht="20.25" customHeight="1" spans="1:12">
      <c r="A3" s="106" t="s">
        <v>1</v>
      </c>
      <c r="B3" s="246"/>
      <c r="C3" s="247"/>
      <c r="D3" s="248"/>
      <c r="E3" s="247"/>
      <c r="F3" s="247"/>
      <c r="G3" s="247"/>
      <c r="H3" s="193" t="s">
        <v>2</v>
      </c>
      <c r="J3" s="44"/>
      <c r="L3" s="268"/>
    </row>
    <row r="4" s="241" customFormat="1" ht="28.1" customHeight="1" spans="1:12">
      <c r="A4" s="194" t="s">
        <v>3</v>
      </c>
      <c r="B4" s="123" t="s">
        <v>4</v>
      </c>
      <c r="C4" s="121" t="s">
        <v>5</v>
      </c>
      <c r="D4" s="121" t="s">
        <v>6</v>
      </c>
      <c r="E4" s="249" t="s">
        <v>3</v>
      </c>
      <c r="F4" s="123" t="s">
        <v>4</v>
      </c>
      <c r="G4" s="121" t="str">
        <f>C4</f>
        <v>本年金额</v>
      </c>
      <c r="H4" s="124" t="str">
        <f>D4</f>
        <v>上年金额</v>
      </c>
      <c r="L4" s="269"/>
    </row>
    <row r="5" s="106" customFormat="1" ht="28.1" customHeight="1" spans="1:12">
      <c r="A5" s="250" t="s">
        <v>7</v>
      </c>
      <c r="B5" s="134"/>
      <c r="C5" s="126"/>
      <c r="D5" s="126"/>
      <c r="E5" s="251" t="s">
        <v>8</v>
      </c>
      <c r="F5" s="252"/>
      <c r="G5" s="129"/>
      <c r="H5" s="130"/>
      <c r="L5" s="270"/>
    </row>
    <row r="6" s="106" customFormat="1" ht="28.1" customHeight="1" spans="1:12">
      <c r="A6" s="135" t="s">
        <v>9</v>
      </c>
      <c r="B6" s="134" t="s">
        <v>10</v>
      </c>
      <c r="C6" s="126">
        <f>IFERROR(VLOOKUP("*"&amp;A6&amp;"*",[4]资产负债表!$A$6:$C$59,3,0),0)</f>
        <v>5479236681.27</v>
      </c>
      <c r="D6" s="126">
        <f>[6]合并资产负债表!C6</f>
        <v>2031843411.39</v>
      </c>
      <c r="E6" s="136" t="s">
        <v>11</v>
      </c>
      <c r="F6" s="134" t="s">
        <v>12</v>
      </c>
      <c r="G6" s="126">
        <f>IFERROR(VLOOKUP("*"&amp;E6&amp;"*",[4]资产负债表!$F$6:$H$59,3,0),0)</f>
        <v>5403889346.32</v>
      </c>
      <c r="H6" s="90">
        <f>[6]合并资产负债表!G6</f>
        <v>4150707378.39</v>
      </c>
      <c r="I6" s="271"/>
      <c r="J6" s="270"/>
      <c r="K6" s="271"/>
      <c r="L6" s="270"/>
    </row>
    <row r="7" s="106" customFormat="1" ht="28.1" customHeight="1" spans="1:12">
      <c r="A7" s="135" t="s">
        <v>13</v>
      </c>
      <c r="B7" s="134"/>
      <c r="C7" s="126">
        <f>IFERROR(VLOOKUP("*"&amp;A7&amp;"*",[4]资产负债表!$A$6:$C$59,3,0),0)</f>
        <v>0</v>
      </c>
      <c r="D7" s="126">
        <f>[6]合并资产负债表!C7</f>
        <v>0</v>
      </c>
      <c r="E7" s="136" t="s">
        <v>14</v>
      </c>
      <c r="F7" s="134"/>
      <c r="G7" s="126">
        <f>IFERROR(VLOOKUP("*"&amp;E7&amp;"*",[4]资产负债表!$F$6:$H$59,3,0),0)</f>
        <v>0</v>
      </c>
      <c r="H7" s="90">
        <f>[6]合并资产负债表!G7</f>
        <v>0</v>
      </c>
      <c r="K7" s="271"/>
      <c r="L7" s="270"/>
    </row>
    <row r="8" s="106" customFormat="1" ht="28.1" customHeight="1" spans="1:12">
      <c r="A8" s="93" t="s">
        <v>15</v>
      </c>
      <c r="B8" s="134"/>
      <c r="C8" s="126">
        <f>IFERROR(VLOOKUP("*"&amp;A8&amp;"*",[4]资产负债表!$A$6:$C$59,3,0),0)</f>
        <v>0</v>
      </c>
      <c r="D8" s="126">
        <f>[6]合并资产负债表!C8</f>
        <v>0</v>
      </c>
      <c r="E8" s="132" t="s">
        <v>16</v>
      </c>
      <c r="F8" s="134"/>
      <c r="G8" s="126">
        <f>IFERROR(VLOOKUP("*"&amp;E8&amp;"*",[4]资产负债表!$F$6:$H$59,3,0),0)</f>
        <v>0</v>
      </c>
      <c r="H8" s="90">
        <f>[6]合并资产负债表!G8</f>
        <v>0</v>
      </c>
      <c r="K8" s="271"/>
      <c r="L8" s="270"/>
    </row>
    <row r="9" s="106" customFormat="1" ht="28.1" customHeight="1" spans="1:12">
      <c r="A9" s="93" t="s">
        <v>17</v>
      </c>
      <c r="B9" s="134"/>
      <c r="C9" s="126">
        <f>IFERROR(VLOOKUP("*"&amp;A9&amp;"*",[4]资产负债表!$A$6:$C$59,3,0),0)</f>
        <v>0</v>
      </c>
      <c r="D9" s="126">
        <f>[6]合并资产负债表!C9</f>
        <v>0</v>
      </c>
      <c r="E9" s="132" t="s">
        <v>18</v>
      </c>
      <c r="F9" s="134" t="s">
        <v>19</v>
      </c>
      <c r="G9" s="126">
        <f>IFERROR(VLOOKUP("*"&amp;E9&amp;"*",[4]资产负债表!$F$6:$H$59,3,0),0)</f>
        <v>344900000</v>
      </c>
      <c r="H9" s="90">
        <f>[6]合并资产负债表!G9</f>
        <v>73661437.88</v>
      </c>
      <c r="L9" s="270"/>
    </row>
    <row r="10" s="106" customFormat="1" ht="28.1" customHeight="1" spans="1:12">
      <c r="A10" s="93" t="s">
        <v>20</v>
      </c>
      <c r="B10" s="134" t="s">
        <v>21</v>
      </c>
      <c r="C10" s="126">
        <f>IFERROR(VLOOKUP("*"&amp;A10&amp;"*",[4]资产负债表!$A$6:$C$59,3,0),0)</f>
        <v>1751657979.35</v>
      </c>
      <c r="D10" s="126">
        <f>[6]合并资产负债表!C10</f>
        <v>1751471400.35</v>
      </c>
      <c r="E10" s="136" t="s">
        <v>22</v>
      </c>
      <c r="F10" s="134" t="s">
        <v>23</v>
      </c>
      <c r="G10" s="126">
        <f>IFERROR(VLOOKUP("*"&amp;E10&amp;"*",[4]资产负债表!$F$6:$H$59,3,0),0)</f>
        <v>516396522.12</v>
      </c>
      <c r="H10" s="90">
        <f>[6]合并资产负债表!G10</f>
        <v>520872399.86</v>
      </c>
      <c r="L10" s="270"/>
    </row>
    <row r="11" s="106" customFormat="1" ht="28.1" customHeight="1" spans="1:12">
      <c r="A11" s="93" t="s">
        <v>24</v>
      </c>
      <c r="B11" s="134"/>
      <c r="C11" s="126">
        <f>IFERROR(VLOOKUP("*"&amp;A11&amp;"*",[4]资产负债表!$A$6:$C$59,3,0),0)</f>
        <v>0</v>
      </c>
      <c r="D11" s="126">
        <f>[6]合并资产负债表!C11</f>
        <v>0</v>
      </c>
      <c r="E11" s="136" t="s">
        <v>25</v>
      </c>
      <c r="F11" s="134" t="s">
        <v>26</v>
      </c>
      <c r="G11" s="126">
        <f>IFERROR(VLOOKUP("*"&amp;E11&amp;"*",[4]资产负债表!$F$6:$H$59,3,0),0)</f>
        <v>4982572.07</v>
      </c>
      <c r="H11" s="90">
        <f>[6]合并资产负债表!G11</f>
        <v>4966407.9</v>
      </c>
      <c r="L11" s="270"/>
    </row>
    <row r="12" s="106" customFormat="1" ht="28.1" customHeight="1" spans="1:12">
      <c r="A12" s="135" t="s">
        <v>27</v>
      </c>
      <c r="B12" s="134" t="s">
        <v>28</v>
      </c>
      <c r="C12" s="126">
        <f>IFERROR(VLOOKUP("*"&amp;A12&amp;"*",[4]资产负债表!$A$6:$C$59,3,0),0)</f>
        <v>669899309.18</v>
      </c>
      <c r="D12" s="126">
        <f>[6]合并资产负债表!C12</f>
        <v>625580745.23</v>
      </c>
      <c r="E12" s="133" t="s">
        <v>29</v>
      </c>
      <c r="F12" s="134" t="s">
        <v>30</v>
      </c>
      <c r="G12" s="126">
        <f>IFERROR(VLOOKUP("*"&amp;E12&amp;"*",[4]资产负债表!$F$6:$H$59,3,0),0)</f>
        <v>375497807.15</v>
      </c>
      <c r="H12" s="90">
        <f>[6]合并资产负债表!G12</f>
        <v>466272584.95</v>
      </c>
      <c r="I12" s="271"/>
      <c r="J12" s="270"/>
      <c r="K12" s="271"/>
      <c r="L12" s="270"/>
    </row>
    <row r="13" s="106" customFormat="1" ht="28.1" customHeight="1" spans="1:12">
      <c r="A13" s="135" t="s">
        <v>31</v>
      </c>
      <c r="B13" s="134" t="s">
        <v>32</v>
      </c>
      <c r="C13" s="126">
        <f>IFERROR(VLOOKUP("*"&amp;A13&amp;"*",[4]资产负债表!$A$6:$C$59,3,0),0)</f>
        <v>7307554815.34</v>
      </c>
      <c r="D13" s="126">
        <f>[6]合并资产负债表!C13</f>
        <v>7387105252.21</v>
      </c>
      <c r="E13" s="136" t="s">
        <v>33</v>
      </c>
      <c r="F13" s="134" t="s">
        <v>34</v>
      </c>
      <c r="G13" s="126">
        <f>IFERROR(VLOOKUP("*"&amp;E13&amp;"*",[4]资产负债表!$F$6:$H$59,3,0),0)</f>
        <v>8226436.61</v>
      </c>
      <c r="H13" s="90">
        <f>[6]合并资产负债表!G13</f>
        <v>13475143.98</v>
      </c>
      <c r="L13" s="270"/>
    </row>
    <row r="14" s="106" customFormat="1" ht="28.1" customHeight="1" spans="1:12">
      <c r="A14" s="135" t="s">
        <v>35</v>
      </c>
      <c r="B14" s="134"/>
      <c r="C14" s="126">
        <f>IFERROR(VLOOKUP("*"&amp;A14&amp;"*",[4]资产负债表!$A$6:$C$59,3,0),0)</f>
        <v>0</v>
      </c>
      <c r="D14" s="126">
        <f>[6]合并资产负债表!C14</f>
        <v>0</v>
      </c>
      <c r="E14" s="136" t="s">
        <v>36</v>
      </c>
      <c r="F14" s="134" t="s">
        <v>37</v>
      </c>
      <c r="G14" s="126">
        <f>IFERROR(VLOOKUP("*"&amp;E14&amp;"*",[4]资产负债表!$F$6:$H$59,3,0),0)</f>
        <v>206086728.74</v>
      </c>
      <c r="H14" s="90">
        <f>[6]合并资产负债表!G14</f>
        <v>232708417.29</v>
      </c>
      <c r="L14" s="270"/>
    </row>
    <row r="15" s="106" customFormat="1" ht="28.1" customHeight="1" spans="1:12">
      <c r="A15" s="135" t="s">
        <v>38</v>
      </c>
      <c r="B15" s="134"/>
      <c r="C15" s="126">
        <f>IFERROR(VLOOKUP("*"&amp;A15&amp;"*",[4]资产负债表!$A$6:$C$59,3,0),0)</f>
        <v>0</v>
      </c>
      <c r="D15" s="126">
        <f>[6]合并资产负债表!C15</f>
        <v>0</v>
      </c>
      <c r="E15" s="136" t="s">
        <v>39</v>
      </c>
      <c r="F15" s="134" t="s">
        <v>40</v>
      </c>
      <c r="G15" s="126">
        <f>IFERROR(VLOOKUP("*"&amp;E15&amp;"*",[4]资产负债表!$F$6:$H$59,3,0),0)</f>
        <v>11728644216.22</v>
      </c>
      <c r="H15" s="90">
        <f>[6]合并资产负债表!G15</f>
        <v>9247159364.22</v>
      </c>
      <c r="L15" s="270"/>
    </row>
    <row r="16" s="106" customFormat="1" ht="28.1" customHeight="1" spans="1:12">
      <c r="A16" s="135" t="s">
        <v>41</v>
      </c>
      <c r="B16" s="134" t="s">
        <v>42</v>
      </c>
      <c r="C16" s="126">
        <f>IFERROR(VLOOKUP("*"&amp;A16&amp;"*",[4]资产负债表!$A$6:$C$59,3,0),0)</f>
        <v>73557929681.61</v>
      </c>
      <c r="D16" s="126">
        <f>[6]合并资产负债表!C16</f>
        <v>69289470415.64</v>
      </c>
      <c r="E16" s="136" t="s">
        <v>43</v>
      </c>
      <c r="F16" s="134"/>
      <c r="G16" s="126">
        <f>IFERROR(VLOOKUP("*"&amp;E16&amp;"*",[4]资产负债表!$F$6:$H$59,3,0),0)</f>
        <v>0</v>
      </c>
      <c r="H16" s="90">
        <f>[6]合并资产负债表!G16</f>
        <v>0</v>
      </c>
      <c r="L16" s="270"/>
    </row>
    <row r="17" s="106" customFormat="1" ht="28.1" customHeight="1" spans="1:12">
      <c r="A17" s="137" t="s">
        <v>44</v>
      </c>
      <c r="B17" s="134"/>
      <c r="C17" s="126">
        <f>IFERROR(VLOOKUP("*"&amp;A17&amp;"*",[4]资产负债表!$A$6:$C$59,3,0),0)</f>
        <v>0</v>
      </c>
      <c r="D17" s="126">
        <f>[6]合并资产负债表!C17</f>
        <v>0</v>
      </c>
      <c r="E17" s="136" t="s">
        <v>45</v>
      </c>
      <c r="F17" s="134"/>
      <c r="G17" s="126">
        <f>IFERROR(VLOOKUP("*"&amp;E17&amp;"*",[4]资产负债表!$F$6:$H$59,3,0),0)</f>
        <v>0</v>
      </c>
      <c r="H17" s="90">
        <f>[6]合并资产负债表!G17</f>
        <v>0</v>
      </c>
      <c r="L17" s="270"/>
    </row>
    <row r="18" s="106" customFormat="1" ht="28.1" customHeight="1" spans="1:12">
      <c r="A18" s="135" t="s">
        <v>46</v>
      </c>
      <c r="B18" s="134"/>
      <c r="C18" s="126">
        <f>IFERROR(VLOOKUP("*"&amp;A18&amp;"*",[4]资产负债表!$A$6:$C$59,3,0),0)</f>
        <v>0</v>
      </c>
      <c r="D18" s="126">
        <f>[6]合并资产负债表!C18</f>
        <v>0</v>
      </c>
      <c r="E18" s="253" t="s">
        <v>47</v>
      </c>
      <c r="F18" s="134"/>
      <c r="G18" s="126">
        <f>IFERROR(VLOOKUP("*"&amp;E18&amp;"*",[4]资产负债表!$F$6:$H$59,3,0),0)</f>
        <v>0</v>
      </c>
      <c r="H18" s="90">
        <f>[6]合并资产负债表!G18</f>
        <v>0</v>
      </c>
      <c r="K18" s="271"/>
      <c r="L18" s="270"/>
    </row>
    <row r="19" s="106" customFormat="1" ht="28.1" customHeight="1" spans="1:12">
      <c r="A19" s="135" t="s">
        <v>48</v>
      </c>
      <c r="B19" s="134"/>
      <c r="C19" s="126">
        <f>IFERROR(VLOOKUP("*"&amp;A19&amp;"*",[4]资产负债表!$A$6:$C$59,3,0),0)</f>
        <v>0</v>
      </c>
      <c r="D19" s="126">
        <f>[6]合并资产负债表!C19</f>
        <v>0</v>
      </c>
      <c r="E19" s="136" t="s">
        <v>49</v>
      </c>
      <c r="F19" s="134" t="s">
        <v>50</v>
      </c>
      <c r="G19" s="126">
        <f>IFERROR(VLOOKUP("*"&amp;E19&amp;"*",[4]资产负债表!$F$6:$H$59,3,0),0)</f>
        <v>9118374626.42</v>
      </c>
      <c r="H19" s="90">
        <f>[6]合并资产负债表!G19</f>
        <v>7027094418.21</v>
      </c>
      <c r="K19" s="271"/>
      <c r="L19" s="270"/>
    </row>
    <row r="20" s="106" customFormat="1" ht="28.1" customHeight="1" spans="1:12">
      <c r="A20" s="135" t="s">
        <v>51</v>
      </c>
      <c r="B20" s="134" t="s">
        <v>52</v>
      </c>
      <c r="C20" s="126">
        <f>IFERROR(VLOOKUP("*"&amp;A20&amp;"*",[4]资产负债表!$A$6:$C$59,3,0),0)</f>
        <v>327817847.18</v>
      </c>
      <c r="D20" s="126">
        <f>[6]合并资产负债表!C20</f>
        <v>292539503.99</v>
      </c>
      <c r="E20" s="136" t="s">
        <v>53</v>
      </c>
      <c r="F20" s="134" t="s">
        <v>54</v>
      </c>
      <c r="G20" s="126">
        <f>IFERROR(VLOOKUP("*"&amp;E20&amp;"*",[4]资产负债表!$F$6:$H$59,3,0),0)</f>
        <v>47431259</v>
      </c>
      <c r="H20" s="90">
        <f>[6]合并资产负债表!G20</f>
        <v>48812956.74</v>
      </c>
      <c r="K20" s="271"/>
      <c r="L20" s="270"/>
    </row>
    <row r="21" s="106" customFormat="1" ht="28.1" customHeight="1" spans="1:12">
      <c r="A21" s="254" t="s">
        <v>55</v>
      </c>
      <c r="B21" s="134"/>
      <c r="C21" s="94">
        <f>SUM(C6:C20)-C14-C15</f>
        <v>89094096313.93</v>
      </c>
      <c r="D21" s="94">
        <f>SUM(D6:D20)-D14-D15</f>
        <v>81378010728.81</v>
      </c>
      <c r="E21" s="255" t="s">
        <v>56</v>
      </c>
      <c r="F21" s="134"/>
      <c r="G21" s="94">
        <f>SUM(G6:G20)-G16-G17</f>
        <v>27754429514.65</v>
      </c>
      <c r="H21" s="95">
        <f>SUM(H6:H20)-H16-H17</f>
        <v>21785730509.42</v>
      </c>
      <c r="I21" s="271"/>
      <c r="J21" s="270"/>
      <c r="K21" s="271"/>
      <c r="L21" s="270"/>
    </row>
    <row r="22" s="106" customFormat="1" ht="28.1" customHeight="1" spans="1:12">
      <c r="A22" s="250" t="s">
        <v>57</v>
      </c>
      <c r="B22" s="134"/>
      <c r="C22" s="126"/>
      <c r="D22" s="126"/>
      <c r="E22" s="251" t="s">
        <v>58</v>
      </c>
      <c r="F22" s="134"/>
      <c r="G22" s="126"/>
      <c r="H22" s="90"/>
      <c r="K22" s="271"/>
      <c r="L22" s="270"/>
    </row>
    <row r="23" s="106" customFormat="1" ht="28.1" customHeight="1" spans="1:12">
      <c r="A23" s="135" t="s">
        <v>59</v>
      </c>
      <c r="B23" s="134"/>
      <c r="C23" s="126">
        <f>IFERROR(VLOOKUP("*"&amp;A23&amp;"*",[4]资产负债表!$A$6:$C$59,3,0),0)</f>
        <v>0</v>
      </c>
      <c r="D23" s="126">
        <f>[6]合并资产负债表!C23</f>
        <v>0</v>
      </c>
      <c r="E23" s="136" t="s">
        <v>60</v>
      </c>
      <c r="F23" s="134" t="s">
        <v>61</v>
      </c>
      <c r="G23" s="126">
        <f>IFERROR(VLOOKUP("*"&amp;E23&amp;"*",[4]资产负债表!$F$6:$H$59,3,0),0)</f>
        <v>27273828025.4</v>
      </c>
      <c r="H23" s="90">
        <f>[6]合并资产负债表!G23</f>
        <v>25288171407.1</v>
      </c>
      <c r="L23" s="270"/>
    </row>
    <row r="24" s="106" customFormat="1" ht="28.1" customHeight="1" spans="1:12">
      <c r="A24" s="135" t="s">
        <v>62</v>
      </c>
      <c r="B24" s="134"/>
      <c r="C24" s="126">
        <f>IFERROR(VLOOKUP("*"&amp;A24&amp;"*",[4]资产负债表!$A$6:$C$59,3,0),0)</f>
        <v>0</v>
      </c>
      <c r="D24" s="126">
        <f>[6]合并资产负债表!C24</f>
        <v>0</v>
      </c>
      <c r="E24" s="136" t="s">
        <v>63</v>
      </c>
      <c r="F24" s="134" t="s">
        <v>64</v>
      </c>
      <c r="G24" s="126">
        <f>IFERROR(VLOOKUP("*"&amp;E24&amp;"*",[4]资产负债表!$F$6:$H$59,3,0),0)</f>
        <v>10170932633.56</v>
      </c>
      <c r="H24" s="90">
        <f>[6]合并资产负债表!G24</f>
        <v>12158848133.56</v>
      </c>
      <c r="J24" s="272">
        <f>C16-D16+C40-D40</f>
        <v>4300139295.53</v>
      </c>
      <c r="L24" s="270"/>
    </row>
    <row r="25" s="106" customFormat="1" ht="28.1" customHeight="1" spans="1:12">
      <c r="A25" s="135" t="s">
        <v>65</v>
      </c>
      <c r="B25" s="134" t="s">
        <v>66</v>
      </c>
      <c r="C25" s="126">
        <f>IFERROR(VLOOKUP("*"&amp;A25&amp;"*",[4]资产负债表!$A$6:$C$59,3,0),0)</f>
        <v>735840885.97</v>
      </c>
      <c r="D25" s="126">
        <f>[6]合并资产负债表!C25</f>
        <v>725450535.97</v>
      </c>
      <c r="E25" s="224" t="s">
        <v>67</v>
      </c>
      <c r="F25" s="134"/>
      <c r="G25" s="126">
        <f>IFERROR(VLOOKUP("*"&amp;E25&amp;"*",[4]资产负债表!$F$6:$H$59,3,0),0)</f>
        <v>0</v>
      </c>
      <c r="H25" s="90">
        <f>[6]合并资产负债表!G25</f>
        <v>0</v>
      </c>
      <c r="L25" s="270"/>
    </row>
    <row r="26" s="106" customFormat="1" ht="28.1" customHeight="1" spans="1:12">
      <c r="A26" s="135" t="s">
        <v>68</v>
      </c>
      <c r="B26" s="134" t="s">
        <v>69</v>
      </c>
      <c r="C26" s="126">
        <f>IFERROR(VLOOKUP("*"&amp;A26&amp;"*",[4]资产负债表!$A$6:$C$59,3,0),0)</f>
        <v>190238324.07</v>
      </c>
      <c r="D26" s="126">
        <f>[6]合并资产负债表!C26</f>
        <v>192008781.83</v>
      </c>
      <c r="E26" s="224" t="s">
        <v>70</v>
      </c>
      <c r="F26" s="134"/>
      <c r="G26" s="126">
        <f>IFERROR(VLOOKUP("*"&amp;E26&amp;"*",[4]资产负债表!$F$6:$H$59,3,0),0)</f>
        <v>0</v>
      </c>
      <c r="H26" s="90">
        <f>[6]合并资产负债表!G26</f>
        <v>0</v>
      </c>
      <c r="I26" s="272"/>
      <c r="J26" s="272"/>
      <c r="L26" s="270"/>
    </row>
    <row r="27" s="106" customFormat="1" ht="28.1" customHeight="1" spans="1:12">
      <c r="A27" s="135" t="s">
        <v>71</v>
      </c>
      <c r="B27" s="134" t="s">
        <v>72</v>
      </c>
      <c r="C27" s="126">
        <f>IFERROR(VLOOKUP("*"&amp;A27&amp;"*",[4]资产负债表!$A$6:$C$59,3,0),0)</f>
        <v>2770763356.71</v>
      </c>
      <c r="D27" s="126">
        <f>[6]合并资产负债表!C27</f>
        <v>2663029606.71</v>
      </c>
      <c r="E27" s="142" t="s">
        <v>73</v>
      </c>
      <c r="F27" s="134" t="s">
        <v>74</v>
      </c>
      <c r="G27" s="126">
        <f>IFERROR(VLOOKUP("*"&amp;E27&amp;"*",[4]资产负债表!$F$6:$H$59,3,0),0)</f>
        <v>6740599.3</v>
      </c>
      <c r="H27" s="90">
        <f>[6]合并资产负债表!G27</f>
        <v>6676196.28</v>
      </c>
      <c r="K27" s="271"/>
      <c r="L27" s="270"/>
    </row>
    <row r="28" s="106" customFormat="1" ht="28.1" customHeight="1" spans="1:12">
      <c r="A28" s="135" t="s">
        <v>75</v>
      </c>
      <c r="B28" s="134"/>
      <c r="C28" s="126">
        <f>IFERROR(VLOOKUP("*"&amp;A28&amp;"*",[4]资产负债表!$A$6:$C$59,3,0),0)</f>
        <v>0</v>
      </c>
      <c r="D28" s="126">
        <f>[6]合并资产负债表!C28</f>
        <v>0</v>
      </c>
      <c r="E28" s="136" t="s">
        <v>76</v>
      </c>
      <c r="F28" s="134" t="s">
        <v>77</v>
      </c>
      <c r="G28" s="126">
        <f>IFERROR(VLOOKUP("*"&amp;E28&amp;"*",[4]资产负债表!$F$6:$H$59,3,0),0)</f>
        <v>9172260288.68</v>
      </c>
      <c r="H28" s="90">
        <f>[6]合并资产负债表!G28</f>
        <v>7048606282.23</v>
      </c>
      <c r="L28" s="270"/>
    </row>
    <row r="29" s="106" customFormat="1" ht="28.1" customHeight="1" spans="1:12">
      <c r="A29" s="135" t="s">
        <v>78</v>
      </c>
      <c r="B29" s="134" t="s">
        <v>79</v>
      </c>
      <c r="C29" s="126">
        <f>IFERROR(VLOOKUP("*"&amp;A29&amp;"*",[4]资产负债表!$A$6:$C$59,3,0),0)</f>
        <v>1349698097</v>
      </c>
      <c r="D29" s="126">
        <f>[6]合并资产负债表!C29</f>
        <v>1345179539</v>
      </c>
      <c r="E29" s="136" t="s">
        <v>80</v>
      </c>
      <c r="F29" s="134"/>
      <c r="G29" s="126">
        <f>IFERROR(VLOOKUP("*"&amp;E29&amp;"*",[4]资产负债表!$F$6:$H$59,3,0),0)</f>
        <v>0</v>
      </c>
      <c r="H29" s="90">
        <f>[6]合并资产负债表!G29</f>
        <v>0</v>
      </c>
      <c r="I29" s="271"/>
      <c r="J29" s="270"/>
      <c r="L29" s="270"/>
    </row>
    <row r="30" s="106" customFormat="1" ht="28.1" customHeight="1" spans="1:12">
      <c r="A30" s="135" t="s">
        <v>81</v>
      </c>
      <c r="B30" s="134" t="s">
        <v>82</v>
      </c>
      <c r="C30" s="126">
        <f>IFERROR(VLOOKUP("*"&amp;A30&amp;"*",[4]资产负债表!$A$6:$C$59,3,0),0)</f>
        <v>2125380536.03</v>
      </c>
      <c r="D30" s="126">
        <f>[6]合并资产负债表!C30</f>
        <v>1226109865</v>
      </c>
      <c r="E30" s="136" t="s">
        <v>83</v>
      </c>
      <c r="F30" s="134"/>
      <c r="G30" s="126">
        <f>IFERROR(VLOOKUP("*"&amp;E30&amp;"*",[4]资产负债表!$F$6:$H$59,3,0),0)</f>
        <v>0</v>
      </c>
      <c r="H30" s="90">
        <f>[6]合并资产负债表!G30</f>
        <v>0</v>
      </c>
      <c r="I30" s="271"/>
      <c r="J30" s="270"/>
      <c r="L30" s="270"/>
    </row>
    <row r="31" s="106" customFormat="1" ht="28.1" customHeight="1" spans="1:12">
      <c r="A31" s="135" t="s">
        <v>84</v>
      </c>
      <c r="B31" s="134" t="s">
        <v>85</v>
      </c>
      <c r="C31" s="126">
        <f>IFERROR(VLOOKUP("*"&amp;A31&amp;"*",[4]资产负债表!$A$6:$C$59,3,0),0)</f>
        <v>165651640.2</v>
      </c>
      <c r="D31" s="126">
        <f>[6]合并资产负债表!C31</f>
        <v>129036605.76</v>
      </c>
      <c r="E31" s="136" t="s">
        <v>86</v>
      </c>
      <c r="F31" s="134" t="s">
        <v>87</v>
      </c>
      <c r="G31" s="126">
        <f>IFERROR(VLOOKUP("*"&amp;E31&amp;"*",[4]资产负债表!$F$6:$H$59,3,0),0)</f>
        <v>87182982.54</v>
      </c>
      <c r="H31" s="90">
        <f>[6]合并资产负债表!G31</f>
        <v>70329489.78</v>
      </c>
      <c r="I31" s="271"/>
      <c r="J31" s="270"/>
      <c r="L31" s="270"/>
    </row>
    <row r="32" s="106" customFormat="1" ht="28.1" customHeight="1" spans="1:12">
      <c r="A32" s="135" t="s">
        <v>88</v>
      </c>
      <c r="B32" s="134"/>
      <c r="C32" s="126">
        <f>IFERROR(VLOOKUP("*"&amp;A32&amp;"*",[4]资产负债表!$A$6:$C$59,3,0),0)</f>
        <v>0</v>
      </c>
      <c r="D32" s="126">
        <f>[6]合并资产负债表!C32</f>
        <v>0</v>
      </c>
      <c r="E32" s="136" t="s">
        <v>89</v>
      </c>
      <c r="F32" s="134" t="s">
        <v>90</v>
      </c>
      <c r="G32" s="126">
        <f>IFERROR(VLOOKUP("*"&amp;E32&amp;"*",[4]资产负债表!$F$6:$H$59,3,0),0)</f>
        <v>152466418.73</v>
      </c>
      <c r="H32" s="90">
        <f>[6]合并资产负债表!G32</f>
        <v>150247518.01</v>
      </c>
      <c r="L32" s="270"/>
    </row>
    <row r="33" s="106" customFormat="1" ht="28.1" customHeight="1" spans="1:12">
      <c r="A33" s="135" t="s">
        <v>91</v>
      </c>
      <c r="B33" s="134"/>
      <c r="C33" s="126">
        <f>IFERROR(VLOOKUP("*"&amp;A33&amp;"*",[4]资产负债表!$A$6:$C$59,3,0),0)</f>
        <v>0</v>
      </c>
      <c r="D33" s="126">
        <f>[6]合并资产负债表!C33</f>
        <v>0</v>
      </c>
      <c r="E33" s="136" t="s">
        <v>92</v>
      </c>
      <c r="F33" s="134"/>
      <c r="G33" s="126">
        <f>IFERROR(VLOOKUP("*"&amp;E33&amp;"*",[4]资产负债表!$F$6:$H$59,3,0),0)</f>
        <v>0</v>
      </c>
      <c r="H33" s="90">
        <f>[6]合并资产负债表!G33</f>
        <v>0</v>
      </c>
      <c r="K33" s="271"/>
      <c r="L33" s="270"/>
    </row>
    <row r="34" s="106" customFormat="1" ht="28.1" customHeight="1" spans="1:12">
      <c r="A34" s="145" t="s">
        <v>93</v>
      </c>
      <c r="B34" s="134" t="s">
        <v>94</v>
      </c>
      <c r="C34" s="126">
        <f>IFERROR(VLOOKUP("*"&amp;A34&amp;"*",[4]资产负债表!$A$6:$C$59,3,0),0)</f>
        <v>8005093.68</v>
      </c>
      <c r="D34" s="126">
        <f>[6]合并资产负债表!C34</f>
        <v>9828455.43</v>
      </c>
      <c r="E34" s="255" t="s">
        <v>95</v>
      </c>
      <c r="F34" s="134"/>
      <c r="G34" s="94">
        <f>SUM(G23:G33)-G25-G26</f>
        <v>46863410948.21</v>
      </c>
      <c r="H34" s="95">
        <f>SUM(H23:H33)-H25-H26</f>
        <v>44722879026.96</v>
      </c>
      <c r="K34" s="271"/>
      <c r="L34" s="270"/>
    </row>
    <row r="35" s="106" customFormat="1" ht="28.1" customHeight="1" spans="1:12">
      <c r="A35" s="135" t="s">
        <v>96</v>
      </c>
      <c r="B35" s="134" t="s">
        <v>97</v>
      </c>
      <c r="C35" s="126">
        <f>IFERROR(VLOOKUP("*"&amp;A35&amp;"*",[4]资产负债表!$A$6:$C$59,3,0),0)</f>
        <v>7640815104.98</v>
      </c>
      <c r="D35" s="126">
        <f>[6]合并资产负债表!C35</f>
        <v>8558889529.74</v>
      </c>
      <c r="E35" s="255" t="s">
        <v>98</v>
      </c>
      <c r="F35" s="134"/>
      <c r="G35" s="94">
        <f>G21+G34</f>
        <v>74617840462.86</v>
      </c>
      <c r="H35" s="95">
        <f>H21+H34</f>
        <v>66508609536.38</v>
      </c>
      <c r="I35" s="271"/>
      <c r="J35" s="270"/>
      <c r="L35" s="270"/>
    </row>
    <row r="36" s="106" customFormat="1" ht="28.1" customHeight="1" spans="1:12">
      <c r="A36" s="135" t="s">
        <v>99</v>
      </c>
      <c r="B36" s="134"/>
      <c r="C36" s="126">
        <f>IFERROR(VLOOKUP("*"&amp;A36&amp;"*",[4]资产负债表!$A$6:$C$59,3,0),0)</f>
        <v>0</v>
      </c>
      <c r="D36" s="126">
        <f>[6]合并资产负债表!C36</f>
        <v>0</v>
      </c>
      <c r="E36" s="251" t="s">
        <v>100</v>
      </c>
      <c r="F36" s="134"/>
      <c r="G36" s="126"/>
      <c r="H36" s="90"/>
      <c r="L36" s="270"/>
    </row>
    <row r="37" s="106" customFormat="1" ht="28.1" customHeight="1" spans="1:12">
      <c r="A37" s="135" t="s">
        <v>101</v>
      </c>
      <c r="B37" s="134"/>
      <c r="C37" s="126">
        <f>IFERROR(VLOOKUP("*"&amp;A37&amp;"*",[4]资产负债表!$A$6:$C$59,3,0),0)</f>
        <v>0</v>
      </c>
      <c r="D37" s="126">
        <f>[6]合并资产负债表!C37</f>
        <v>0</v>
      </c>
      <c r="E37" s="136" t="s">
        <v>102</v>
      </c>
      <c r="F37" s="134" t="s">
        <v>103</v>
      </c>
      <c r="G37" s="126">
        <f>IFERROR(VLOOKUP("*"&amp;E37&amp;"*",[4]资产负债表!$F$6:$H$59,3,0),0)</f>
        <v>1500000000</v>
      </c>
      <c r="H37" s="90">
        <f>[6]合并资产负债表!G37</f>
        <v>1500000000</v>
      </c>
      <c r="L37" s="270"/>
    </row>
    <row r="38" s="106" customFormat="1" ht="28.1" customHeight="1" spans="1:12">
      <c r="A38" s="135" t="s">
        <v>104</v>
      </c>
      <c r="B38" s="134" t="s">
        <v>105</v>
      </c>
      <c r="C38" s="126">
        <f>IFERROR(VLOOKUP("*"&amp;A38&amp;"*",[4]资产负债表!$A$6:$C$59,3,0),0)</f>
        <v>93408628.97</v>
      </c>
      <c r="D38" s="126">
        <f>[6]合并资产负债表!C38</f>
        <v>100943768.35</v>
      </c>
      <c r="E38" s="136" t="s">
        <v>106</v>
      </c>
      <c r="F38" s="134"/>
      <c r="G38" s="126">
        <f>IFERROR(VLOOKUP("*"&amp;E38&amp;"*",[4]资产负债表!$F$6:$H$59,3,0),0)</f>
        <v>0</v>
      </c>
      <c r="H38" s="90">
        <f>[6]合并资产负债表!G38</f>
        <v>0</v>
      </c>
      <c r="I38" s="271"/>
      <c r="J38" s="270"/>
      <c r="L38" s="270"/>
    </row>
    <row r="39" s="242" customFormat="1" ht="28.1" customHeight="1" spans="1:12">
      <c r="A39" s="135" t="s">
        <v>107</v>
      </c>
      <c r="B39" s="134" t="s">
        <v>90</v>
      </c>
      <c r="C39" s="126">
        <f>IFERROR(VLOOKUP("*"&amp;A39&amp;"*",[4]资产负债表!$A$6:$C$59,3,0),0)</f>
        <v>23132518.22</v>
      </c>
      <c r="D39" s="126">
        <f>[6]合并资产负债表!C39</f>
        <v>21459415.91</v>
      </c>
      <c r="E39" s="224" t="s">
        <v>108</v>
      </c>
      <c r="F39" s="134"/>
      <c r="G39" s="126">
        <f>IFERROR(VLOOKUP("*"&amp;E39&amp;"*",[4]资产负债表!$F$6:$H$59,3,0),0)</f>
        <v>0</v>
      </c>
      <c r="H39" s="90">
        <f>[6]合并资产负债表!G39</f>
        <v>0</v>
      </c>
      <c r="I39" s="271"/>
      <c r="J39" s="270"/>
      <c r="L39" s="273"/>
    </row>
    <row r="40" s="106" customFormat="1" ht="28.1" customHeight="1" spans="1:12">
      <c r="A40" s="135" t="s">
        <v>109</v>
      </c>
      <c r="B40" s="134" t="s">
        <v>110</v>
      </c>
      <c r="C40" s="126">
        <f>IFERROR(VLOOKUP("*"&amp;A40&amp;"*",[4]资产负债表!$A$6:$C$59,3,0),0)</f>
        <v>830681969.59</v>
      </c>
      <c r="D40" s="126">
        <f>[6]合并资产负债表!C40</f>
        <v>799001940.03</v>
      </c>
      <c r="E40" s="224" t="s">
        <v>111</v>
      </c>
      <c r="F40" s="134"/>
      <c r="G40" s="126">
        <f>IFERROR(VLOOKUP("*"&amp;E40&amp;"*",[4]资产负债表!$F$6:$H$59,3,0),0)</f>
        <v>0</v>
      </c>
      <c r="H40" s="90">
        <f>[6]合并资产负债表!G40</f>
        <v>0</v>
      </c>
      <c r="K40" s="271"/>
      <c r="L40" s="270"/>
    </row>
    <row r="41" s="106" customFormat="1" ht="28.1" customHeight="1" spans="1:12">
      <c r="A41" s="254" t="s">
        <v>112</v>
      </c>
      <c r="B41" s="134"/>
      <c r="C41" s="94">
        <f>SUM(C23:C40)</f>
        <v>15933616155.42</v>
      </c>
      <c r="D41" s="94">
        <f>SUM(D23:D40)</f>
        <v>15770938043.73</v>
      </c>
      <c r="E41" s="136" t="s">
        <v>113</v>
      </c>
      <c r="F41" s="134" t="s">
        <v>114</v>
      </c>
      <c r="G41" s="126">
        <f>IFERROR(VLOOKUP("*"&amp;E41&amp;"*",[4]资产负债表!$F$6:$H$59,3,0),0)</f>
        <v>20805292132.16</v>
      </c>
      <c r="H41" s="90">
        <f>[6]合并资产负债表!G41</f>
        <v>21059068253.46</v>
      </c>
      <c r="K41" s="271"/>
      <c r="L41" s="270"/>
    </row>
    <row r="42" s="106" customFormat="1" ht="28.1" customHeight="1" spans="1:12">
      <c r="A42" s="135"/>
      <c r="B42" s="134"/>
      <c r="C42" s="126"/>
      <c r="D42" s="126"/>
      <c r="E42" s="252" t="s">
        <v>115</v>
      </c>
      <c r="F42" s="134"/>
      <c r="G42" s="126">
        <f>IFERROR(VLOOKUP("*"&amp;E42&amp;"*",[4]资产负债表!$F$6:$H$59,3,0),0)</f>
        <v>0</v>
      </c>
      <c r="H42" s="90">
        <f>[6]合并资产负债表!G42</f>
        <v>0</v>
      </c>
      <c r="K42" s="271"/>
      <c r="L42" s="270"/>
    </row>
    <row r="43" s="106" customFormat="1" ht="28.1" customHeight="1" spans="1:12">
      <c r="A43" s="135"/>
      <c r="B43" s="134"/>
      <c r="C43" s="126"/>
      <c r="D43" s="126"/>
      <c r="E43" s="252" t="s">
        <v>116</v>
      </c>
      <c r="F43" s="134" t="s">
        <v>117</v>
      </c>
      <c r="G43" s="126">
        <f>IFERROR(VLOOKUP("*"&amp;E43&amp;"*",[4]资产负债表!$F$6:$H$59,3,0),0)</f>
        <v>390962134.89</v>
      </c>
      <c r="H43" s="90">
        <f>[6]合并资产负债表!G43</f>
        <v>390962134.89</v>
      </c>
      <c r="I43" s="271"/>
      <c r="J43" s="271"/>
      <c r="K43" s="271"/>
      <c r="L43" s="270"/>
    </row>
    <row r="44" s="106" customFormat="1" ht="28.1" customHeight="1" spans="1:12">
      <c r="A44" s="135"/>
      <c r="B44" s="134"/>
      <c r="C44" s="126"/>
      <c r="D44" s="126"/>
      <c r="E44" s="252" t="s">
        <v>118</v>
      </c>
      <c r="F44" s="134" t="s">
        <v>119</v>
      </c>
      <c r="G44" s="126">
        <f>IFERROR(VLOOKUP("*"&amp;E44&amp;"*",[4]资产负债表!$F$6:$H$59,3,0),0)</f>
        <v>2201853.4</v>
      </c>
      <c r="H44" s="90">
        <f>[6]合并资产负债表!G44</f>
        <v>6141337.51</v>
      </c>
      <c r="I44" s="272"/>
      <c r="L44" s="270"/>
    </row>
    <row r="45" s="106" customFormat="1" ht="28.1" customHeight="1" spans="1:14">
      <c r="A45" s="135"/>
      <c r="B45" s="134"/>
      <c r="C45" s="126"/>
      <c r="D45" s="126"/>
      <c r="E45" s="252" t="s">
        <v>120</v>
      </c>
      <c r="F45" s="134" t="s">
        <v>121</v>
      </c>
      <c r="G45" s="126">
        <f>IFERROR(VLOOKUP("*"&amp;E45&amp;"*",[4]资产负债表!$F$6:$H$59,3,0),0)</f>
        <v>70332998.57</v>
      </c>
      <c r="H45" s="90">
        <f>[6]合并资产负债表!G45</f>
        <v>70332998.57</v>
      </c>
      <c r="I45" s="271"/>
      <c r="J45" s="270"/>
      <c r="L45" s="270"/>
      <c r="N45" s="271"/>
    </row>
    <row r="46" s="106" customFormat="1" ht="28.1" customHeight="1" spans="1:12">
      <c r="A46" s="226"/>
      <c r="B46" s="256"/>
      <c r="C46" s="257"/>
      <c r="D46" s="257"/>
      <c r="E46" s="136" t="s">
        <v>122</v>
      </c>
      <c r="F46" s="134" t="s">
        <v>123</v>
      </c>
      <c r="G46" s="126">
        <f>IFERROR(VLOOKUP("*"&amp;E46&amp;"*",[4]资产负债表!$F$6:$H$59,3,0),0)</f>
        <v>2097693078.04</v>
      </c>
      <c r="H46" s="90">
        <f>[6]合并资产负债表!G46</f>
        <v>2539928496.62</v>
      </c>
      <c r="I46" s="272"/>
      <c r="L46" s="270"/>
    </row>
    <row r="47" s="106" customFormat="1" ht="28.1" customHeight="1" spans="1:12">
      <c r="A47" s="254"/>
      <c r="B47" s="134"/>
      <c r="C47" s="126"/>
      <c r="D47" s="126"/>
      <c r="E47" s="252" t="s">
        <v>124</v>
      </c>
      <c r="F47" s="134"/>
      <c r="G47" s="126">
        <f>IFERROR(VLOOKUP("*"&amp;E47&amp;"*",[4]资产负债表!$F$6:$H$59,3,0),0)</f>
        <v>24866482197.06</v>
      </c>
      <c r="H47" s="90">
        <f>[6]合并资产负债表!G47</f>
        <v>25566433221.05</v>
      </c>
      <c r="J47" s="272"/>
      <c r="L47" s="270"/>
    </row>
    <row r="48" s="106" customFormat="1" ht="28.1" customHeight="1" spans="1:12">
      <c r="A48" s="226"/>
      <c r="B48" s="134"/>
      <c r="C48" s="257"/>
      <c r="D48" s="257"/>
      <c r="E48" s="136" t="s">
        <v>125</v>
      </c>
      <c r="F48" s="251"/>
      <c r="G48" s="126">
        <f>IFERROR(VLOOKUP("*"&amp;E48&amp;"*",[4]资产负债表!$F$6:$H$59,3,0),0)</f>
        <v>5543389809.43</v>
      </c>
      <c r="H48" s="90">
        <f>[6]合并资产负债表!G48</f>
        <v>5073906015.11</v>
      </c>
      <c r="I48" s="272"/>
      <c r="J48" s="272"/>
      <c r="L48" s="270"/>
    </row>
    <row r="49" s="106" customFormat="1" ht="28.1" customHeight="1" spans="1:12">
      <c r="A49" s="254"/>
      <c r="B49" s="258"/>
      <c r="C49" s="126"/>
      <c r="D49" s="126"/>
      <c r="E49" s="255" t="s">
        <v>126</v>
      </c>
      <c r="F49" s="251"/>
      <c r="G49" s="127">
        <f>G47+G48</f>
        <v>30409872006.49</v>
      </c>
      <c r="H49" s="259">
        <f>H47+H48</f>
        <v>30640339236.16</v>
      </c>
      <c r="L49" s="270"/>
    </row>
    <row r="50" ht="28.1" customHeight="1" spans="1:8">
      <c r="A50" s="260" t="s">
        <v>127</v>
      </c>
      <c r="B50" s="228"/>
      <c r="C50" s="261">
        <f>C21+C41</f>
        <v>105027712469.35</v>
      </c>
      <c r="D50" s="261">
        <f>D21+D41</f>
        <v>97148948772.54</v>
      </c>
      <c r="E50" s="262" t="s">
        <v>128</v>
      </c>
      <c r="F50" s="263"/>
      <c r="G50" s="261">
        <f>G49+G35</f>
        <v>105027712469.35</v>
      </c>
      <c r="H50" s="264">
        <f>H49+H35</f>
        <v>97148948772.54</v>
      </c>
    </row>
    <row r="51" ht="24" customHeight="1" spans="1:8">
      <c r="A51" s="237" t="s">
        <v>129</v>
      </c>
      <c r="D51" s="85" t="s">
        <v>130</v>
      </c>
      <c r="F51" s="265"/>
      <c r="G51" s="265" t="s">
        <v>131</v>
      </c>
      <c r="H51" s="265"/>
    </row>
    <row r="53" customHeight="1" spans="3:4">
      <c r="C53" s="243">
        <f>C50-G50</f>
        <v>0</v>
      </c>
      <c r="D53" s="243">
        <f>D50-H50</f>
        <v>0</v>
      </c>
    </row>
    <row r="54" customHeight="1" spans="1:8">
      <c r="A54" s="44"/>
      <c r="C54" s="220">
        <f>C50-[1]资产负债表!$C$59</f>
        <v>7878763696.81</v>
      </c>
      <c r="D54" s="220">
        <f>D50-[1]资产负债表!$D$59</f>
        <v>3831209887.48003</v>
      </c>
      <c r="G54" s="243">
        <f>G50-[1]资产负债表!$H$59</f>
        <v>7878763696.81001</v>
      </c>
      <c r="H54" s="243">
        <f>H50-[1]资产负债表!$I$59</f>
        <v>3831209887.48</v>
      </c>
    </row>
    <row r="55" customHeight="1" spans="1:1">
      <c r="A55" s="44"/>
    </row>
    <row r="56" customHeight="1" spans="1:1">
      <c r="A56" s="44"/>
    </row>
    <row r="57" customHeight="1" spans="7:7">
      <c r="G57" s="243">
        <f>G46-H46</f>
        <v>-442235418.58</v>
      </c>
    </row>
    <row r="58" customHeight="1" spans="7:7">
      <c r="G58" s="243">
        <f>'合并利润表 '!C35</f>
        <v>-441758591.26</v>
      </c>
    </row>
    <row r="59" customHeight="1" spans="4:12">
      <c r="D59" s="266"/>
      <c r="L59" s="156"/>
    </row>
    <row r="60" customHeight="1" spans="4:13">
      <c r="D60" s="221"/>
      <c r="L60" s="220"/>
      <c r="M60" s="221"/>
    </row>
  </sheetData>
  <mergeCells count="2">
    <mergeCell ref="A1:H1"/>
    <mergeCell ref="A2:H2"/>
  </mergeCells>
  <printOptions horizontalCentered="1"/>
  <pageMargins left="0.708661417322835" right="0.708661417322835" top="1.02362204724409" bottom="0.748031496062992" header="0.31496062992126" footer="0.31496062992126"/>
  <pageSetup paperSize="9" scale="54" orientation="portrait" useFirstPageNumber="1"/>
  <headerFooter scaleWithDoc="0">
    <oddFooter>&amp;C&amp;"Arial Narrow,常规"1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G67"/>
  <sheetViews>
    <sheetView showZeros="0" view="pageBreakPreview" zoomScaleNormal="100" topLeftCell="A3" workbookViewId="0">
      <selection activeCell="E10" sqref="E10"/>
    </sheetView>
  </sheetViews>
  <sheetFormatPr defaultColWidth="9" defaultRowHeight="15" outlineLevelCol="6"/>
  <cols>
    <col min="1" max="1" width="49.7083333333333" style="189" customWidth="1"/>
    <col min="2" max="2" width="17.5" style="189" customWidth="1"/>
    <col min="3" max="3" width="24.5666666666667" style="189" customWidth="1"/>
    <col min="4" max="4" width="25.2083333333333" style="189" customWidth="1"/>
    <col min="5" max="5" width="11.7083333333333" style="189" customWidth="1"/>
    <col min="6" max="6" width="16" style="189" hidden="1" customWidth="1"/>
    <col min="7" max="16384" width="9" style="189"/>
  </cols>
  <sheetData>
    <row r="1" ht="26.25" customHeight="1" spans="1:7">
      <c r="A1" s="214" t="s">
        <v>132</v>
      </c>
      <c r="B1" s="214"/>
      <c r="C1" s="214"/>
      <c r="D1" s="214"/>
      <c r="E1" s="188"/>
      <c r="F1" s="188"/>
      <c r="G1" s="44"/>
    </row>
    <row r="2" ht="21" customHeight="1" spans="1:6">
      <c r="A2" s="215" t="s">
        <v>133</v>
      </c>
      <c r="B2" s="215"/>
      <c r="C2" s="215"/>
      <c r="D2" s="215"/>
      <c r="E2" s="188"/>
      <c r="F2" s="188"/>
    </row>
    <row r="3" s="85" customFormat="1" ht="16.1" customHeight="1" spans="1:4">
      <c r="A3" s="216" t="str">
        <f>合并资产负债表!A3</f>
        <v>编制单位：平阳县国诚控股有限公司</v>
      </c>
      <c r="B3" s="217"/>
      <c r="C3" s="218"/>
      <c r="D3" s="193" t="s">
        <v>134</v>
      </c>
    </row>
    <row r="4" s="213" customFormat="1" ht="19.95" customHeight="1" spans="1:4">
      <c r="A4" s="194" t="s">
        <v>135</v>
      </c>
      <c r="B4" s="55" t="s">
        <v>4</v>
      </c>
      <c r="C4" s="55" t="s">
        <v>5</v>
      </c>
      <c r="D4" s="56" t="s">
        <v>6</v>
      </c>
    </row>
    <row r="5" s="85" customFormat="1" ht="19.95" customHeight="1" spans="1:6">
      <c r="A5" s="195" t="s">
        <v>136</v>
      </c>
      <c r="B5" s="134"/>
      <c r="C5" s="94">
        <f>SUM(C6:C6)</f>
        <v>387657942.02</v>
      </c>
      <c r="D5" s="95">
        <f>SUM(D6:D6)</f>
        <v>370400731.91</v>
      </c>
      <c r="F5" s="219"/>
    </row>
    <row r="6" s="85" customFormat="1" ht="19.95" customHeight="1" spans="1:6">
      <c r="A6" s="135" t="s">
        <v>137</v>
      </c>
      <c r="B6" s="134" t="s">
        <v>138</v>
      </c>
      <c r="C6" s="70">
        <f>IFERROR(VLOOKUP("*"&amp;A6&amp;"*",[4]利润表!$A$6:$C$71,3,0),0)</f>
        <v>387657942.02</v>
      </c>
      <c r="D6" s="90">
        <f>'[7]合并利润表 '!C6</f>
        <v>370400731.91</v>
      </c>
      <c r="E6" s="220"/>
      <c r="F6" s="219"/>
    </row>
    <row r="7" s="85" customFormat="1" ht="19.95" customHeight="1" spans="1:6">
      <c r="A7" s="195" t="s">
        <v>139</v>
      </c>
      <c r="B7" s="134"/>
      <c r="C7" s="94">
        <f>SUM(C8:C15)-C14-C15</f>
        <v>814943043.83</v>
      </c>
      <c r="D7" s="95">
        <f>SUM(D8:D15)-D14-D15</f>
        <v>780241896.28</v>
      </c>
      <c r="F7" s="219"/>
    </row>
    <row r="8" s="85" customFormat="1" ht="19.95" customHeight="1" spans="1:6">
      <c r="A8" s="135" t="s">
        <v>140</v>
      </c>
      <c r="B8" s="134" t="s">
        <v>138</v>
      </c>
      <c r="C8" s="70">
        <f>IFERROR(VLOOKUP("*"&amp;A8&amp;"*",[4]利润表!$A$6:$C$71,3,0),0)</f>
        <v>415697073.03</v>
      </c>
      <c r="D8" s="90">
        <f>'[7]合并利润表 '!C8</f>
        <v>396923613.37</v>
      </c>
      <c r="E8" s="221"/>
      <c r="F8" s="219"/>
    </row>
    <row r="9" s="85" customFormat="1" ht="19.95" customHeight="1" spans="1:6">
      <c r="A9" s="222" t="s">
        <v>141</v>
      </c>
      <c r="B9" s="134"/>
      <c r="C9" s="70">
        <f>IFERROR(VLOOKUP("*"&amp;A9&amp;"*",[4]利润表!$A$6:$C$71,3,0),0)</f>
        <v>40381687</v>
      </c>
      <c r="D9" s="90">
        <f>'[7]合并利润表 '!C9</f>
        <v>18224409.21</v>
      </c>
      <c r="F9" s="219"/>
    </row>
    <row r="10" s="85" customFormat="1" ht="19.95" customHeight="1" spans="1:6">
      <c r="A10" s="222" t="s">
        <v>142</v>
      </c>
      <c r="B10" s="134"/>
      <c r="C10" s="70">
        <f>IFERROR(VLOOKUP("*"&amp;A10&amp;"*",[4]利润表!$A$6:$C$71,3,0),0)</f>
        <v>12251963.97</v>
      </c>
      <c r="D10" s="90">
        <f>'[7]合并利润表 '!C10</f>
        <v>6807576.72</v>
      </c>
      <c r="F10" s="219"/>
    </row>
    <row r="11" s="85" customFormat="1" ht="19.95" customHeight="1" spans="1:6">
      <c r="A11" s="222" t="s">
        <v>143</v>
      </c>
      <c r="B11" s="134"/>
      <c r="C11" s="70">
        <f>IFERROR(VLOOKUP("*"&amp;A11&amp;"*",[4]利润表!$A$6:$C$71,3,0),0)</f>
        <v>253590877.7</v>
      </c>
      <c r="D11" s="90">
        <f>'[7]合并利润表 '!C11</f>
        <v>314444199.68</v>
      </c>
      <c r="F11" s="219"/>
    </row>
    <row r="12" s="85" customFormat="1" ht="19.95" customHeight="1" spans="1:6">
      <c r="A12" s="222" t="s">
        <v>144</v>
      </c>
      <c r="B12" s="134"/>
      <c r="C12" s="70">
        <f>IFERROR(VLOOKUP("*"&amp;A12&amp;"*",[4]利润表!$A$6:$C$71,3,0),0)</f>
        <v>0</v>
      </c>
      <c r="D12" s="90">
        <f>'[7]合并利润表 '!C12</f>
        <v>0</v>
      </c>
      <c r="F12" s="219"/>
    </row>
    <row r="13" s="85" customFormat="1" ht="22.1" customHeight="1" spans="1:6">
      <c r="A13" s="222" t="s">
        <v>145</v>
      </c>
      <c r="B13" s="134" t="s">
        <v>146</v>
      </c>
      <c r="C13" s="70">
        <f>IFERROR(VLOOKUP("*"&amp;A13&amp;"*",[4]利润表!$A$6:$C$71,3,0),0)</f>
        <v>93021442.13</v>
      </c>
      <c r="D13" s="90">
        <f>'[7]合并利润表 '!C13</f>
        <v>43842097.3</v>
      </c>
      <c r="F13" s="219"/>
    </row>
    <row r="14" s="85" customFormat="1" ht="22.95" customHeight="1" spans="1:6">
      <c r="A14" s="222" t="s">
        <v>147</v>
      </c>
      <c r="B14" s="134"/>
      <c r="C14" s="70">
        <f>IFERROR(VLOOKUP("*"&amp;A14&amp;"*",[4]利润表!$A$6:$C$71,3,0),0)</f>
        <v>0</v>
      </c>
      <c r="D14" s="90">
        <f>'[7]合并利润表 '!C14</f>
        <v>64759711.95</v>
      </c>
      <c r="F14" s="219"/>
    </row>
    <row r="15" s="85" customFormat="1" ht="22.95" customHeight="1" spans="1:6">
      <c r="A15" s="222" t="s">
        <v>148</v>
      </c>
      <c r="B15" s="134"/>
      <c r="C15" s="70">
        <f>IFERROR(VLOOKUP("*"&amp;A15&amp;"*",[4]利润表!$A$6:$C$71,3,0),0)</f>
        <v>0</v>
      </c>
      <c r="D15" s="90">
        <f>'[7]合并利润表 '!C15</f>
        <v>23214453.35</v>
      </c>
      <c r="F15" s="219"/>
    </row>
    <row r="16" s="85" customFormat="1" ht="22.1" customHeight="1" spans="1:6">
      <c r="A16" s="61" t="s">
        <v>149</v>
      </c>
      <c r="B16" s="134" t="s">
        <v>150</v>
      </c>
      <c r="C16" s="70">
        <f>IFERROR(VLOOKUP("*"&amp;A16&amp;"*",[4]利润表!$A$6:$C$71,3,0),0)</f>
        <v>5944841.45</v>
      </c>
      <c r="D16" s="90">
        <f>'[7]合并利润表 '!C16</f>
        <v>408274694.86</v>
      </c>
      <c r="F16" s="219"/>
    </row>
    <row r="17" s="85" customFormat="1" ht="19.95" customHeight="1" spans="1:6">
      <c r="A17" s="222" t="s">
        <v>151</v>
      </c>
      <c r="B17" s="134" t="s">
        <v>152</v>
      </c>
      <c r="C17" s="70">
        <f>IFERROR(VLOOKUP("*"&amp;A17&amp;"*",[4]利润表!$A$6:$C$71,3,0),0)</f>
        <v>-40800635.36</v>
      </c>
      <c r="D17" s="90">
        <f>'[7]合并利润表 '!C17</f>
        <v>-2277170.47</v>
      </c>
      <c r="F17" s="219"/>
    </row>
    <row r="18" s="85" customFormat="1" ht="19.95" customHeight="1" spans="1:6">
      <c r="A18" s="222" t="s">
        <v>153</v>
      </c>
      <c r="B18" s="134"/>
      <c r="C18" s="70">
        <f>IFERROR(VLOOKUP("*"&amp;A18&amp;"*",[4]利润表!$A$6:$C$71,3,0),0)</f>
        <v>0</v>
      </c>
      <c r="D18" s="90">
        <f>'[7]合并利润表 '!C18</f>
        <v>0</v>
      </c>
      <c r="F18" s="219"/>
    </row>
    <row r="19" s="85" customFormat="1" ht="19.95" customHeight="1" spans="1:6">
      <c r="A19" s="223" t="s">
        <v>154</v>
      </c>
      <c r="B19" s="134"/>
      <c r="C19" s="70">
        <f>IFERROR(VLOOKUP("*"&amp;A19&amp;"*",[4]利润表!$A$6:$C$71,3,0),0)</f>
        <v>0</v>
      </c>
      <c r="D19" s="90">
        <f>'[7]合并利润表 '!C19</f>
        <v>0</v>
      </c>
      <c r="F19" s="219"/>
    </row>
    <row r="20" s="85" customFormat="1" ht="19.95" customHeight="1" spans="1:6">
      <c r="A20" s="135" t="s">
        <v>155</v>
      </c>
      <c r="B20" s="134"/>
      <c r="C20" s="70">
        <f>IFERROR(VLOOKUP("*"&amp;A20&amp;"*",[4]利润表!$A$6:$C$71,3,0),0)</f>
        <v>0</v>
      </c>
      <c r="D20" s="90">
        <f>'[7]合并利润表 '!C20</f>
        <v>0</v>
      </c>
      <c r="F20" s="219"/>
    </row>
    <row r="21" s="85" customFormat="1" ht="19.95" customHeight="1" spans="1:6">
      <c r="A21" s="92" t="s">
        <v>156</v>
      </c>
      <c r="B21" s="134" t="s">
        <v>157</v>
      </c>
      <c r="C21" s="70">
        <f>IFERROR(VLOOKUP("*"&amp;A21&amp;"*",[4]利润表!$A$6:$C$71,3,0),0)</f>
        <v>1561800</v>
      </c>
      <c r="D21" s="90">
        <f>'[7]合并利润表 '!C21</f>
        <v>-1448948.75</v>
      </c>
      <c r="F21" s="219"/>
    </row>
    <row r="22" s="85" customFormat="1" ht="19.95" customHeight="1" spans="1:6">
      <c r="A22" s="92" t="s">
        <v>158</v>
      </c>
      <c r="B22" s="134" t="s">
        <v>159</v>
      </c>
      <c r="C22" s="70">
        <f>IFERROR(VLOOKUP("*"&amp;A22&amp;"*",[4]利润表!$A$6:$C$71,3,0),0)</f>
        <v>-7211088.59</v>
      </c>
      <c r="D22" s="90">
        <f>'[7]合并利润表 '!C22</f>
        <v>-14003595.69</v>
      </c>
      <c r="F22" s="219"/>
    </row>
    <row r="23" s="85" customFormat="1" ht="19.95" customHeight="1" spans="1:6">
      <c r="A23" s="92" t="s">
        <v>160</v>
      </c>
      <c r="B23" s="134"/>
      <c r="C23" s="70">
        <f>IFERROR(VLOOKUP("*"&amp;A23&amp;"*",[4]利润表!$A$6:$C$71,3,0),0)</f>
        <v>0</v>
      </c>
      <c r="D23" s="90">
        <f>'[7]合并利润表 '!C23</f>
        <v>0</v>
      </c>
      <c r="F23" s="219"/>
    </row>
    <row r="24" s="85" customFormat="1" ht="19.95" customHeight="1" spans="1:6">
      <c r="A24" s="92" t="s">
        <v>161</v>
      </c>
      <c r="B24" s="134" t="s">
        <v>162</v>
      </c>
      <c r="C24" s="70">
        <f>IFERROR(VLOOKUP("*"&amp;A24&amp;"*",[4]利润表!$A$6:$C$71,3,0),0)</f>
        <v>40950659.35</v>
      </c>
      <c r="D24" s="90">
        <f>'[7]合并利润表 '!C24</f>
        <v>-25782661.4</v>
      </c>
      <c r="F24" s="219"/>
    </row>
    <row r="25" s="85" customFormat="1" ht="19.95" customHeight="1" spans="1:6">
      <c r="A25" s="195" t="s">
        <v>163</v>
      </c>
      <c r="B25" s="134"/>
      <c r="C25" s="94">
        <f>C5-C7+C16+C17+SUM(C20:C24)</f>
        <v>-426839524.96</v>
      </c>
      <c r="D25" s="95">
        <f>D5-D7+D16+D17+SUM(D20:D24)</f>
        <v>-45078845.8199999</v>
      </c>
      <c r="F25" s="219"/>
    </row>
    <row r="26" s="85" customFormat="1" ht="19.95" customHeight="1" spans="1:6">
      <c r="A26" s="101" t="s">
        <v>164</v>
      </c>
      <c r="B26" s="134" t="s">
        <v>165</v>
      </c>
      <c r="C26" s="70">
        <f>IFERROR(VLOOKUP("*"&amp;A26&amp;"*",[4]利润表!$A$6:$C$71,3,0),0)</f>
        <v>5367322.73</v>
      </c>
      <c r="D26" s="90">
        <f>'[7]合并利润表 '!C26</f>
        <v>1589001.99</v>
      </c>
      <c r="F26" s="219"/>
    </row>
    <row r="27" s="85" customFormat="1" ht="19.95" customHeight="1" spans="1:6">
      <c r="A27" s="101" t="s">
        <v>166</v>
      </c>
      <c r="B27" s="134" t="s">
        <v>167</v>
      </c>
      <c r="C27" s="70">
        <f>IFERROR(VLOOKUP("*"&amp;A27&amp;"*",[4]利润表!$A$6:$C$71,3,0),0)</f>
        <v>26485333.78</v>
      </c>
      <c r="D27" s="90">
        <f>'[7]合并利润表 '!C27</f>
        <v>5894964.94</v>
      </c>
      <c r="F27" s="219"/>
    </row>
    <row r="28" s="85" customFormat="1" ht="19.95" customHeight="1" spans="1:6">
      <c r="A28" s="195" t="s">
        <v>168</v>
      </c>
      <c r="B28" s="134"/>
      <c r="C28" s="94">
        <f>C25+C26-C27</f>
        <v>-447957536.01</v>
      </c>
      <c r="D28" s="95">
        <f>D25+D26-D27</f>
        <v>-49384808.7699999</v>
      </c>
      <c r="F28" s="219"/>
    </row>
    <row r="29" s="85" customFormat="1" ht="19.95" customHeight="1" spans="1:6">
      <c r="A29" s="101" t="s">
        <v>169</v>
      </c>
      <c r="B29" s="134" t="s">
        <v>170</v>
      </c>
      <c r="C29" s="70">
        <f>IFERROR(VLOOKUP("*"&amp;A29&amp;"*",[4]利润表!$A$6:$C$71,3,0),0)</f>
        <v>9803974.45</v>
      </c>
      <c r="D29" s="90">
        <f>'[7]合并利润表 '!C29</f>
        <v>195316.56</v>
      </c>
      <c r="F29" s="219"/>
    </row>
    <row r="30" s="85" customFormat="1" ht="19.95" customHeight="1" spans="1:6">
      <c r="A30" s="195" t="s">
        <v>171</v>
      </c>
      <c r="B30" s="134"/>
      <c r="C30" s="94">
        <f>C28-C29</f>
        <v>-457761510.46</v>
      </c>
      <c r="D30" s="95">
        <f>D28-D29</f>
        <v>-49580125.3299999</v>
      </c>
      <c r="F30" s="219"/>
    </row>
    <row r="31" s="85" customFormat="1" ht="19.95" customHeight="1" spans="1:6">
      <c r="A31" s="101" t="s">
        <v>172</v>
      </c>
      <c r="B31" s="134"/>
      <c r="C31" s="126">
        <f>C32+C33</f>
        <v>-457761510.46</v>
      </c>
      <c r="D31" s="90">
        <f>D32+D33</f>
        <v>-49580125.33</v>
      </c>
      <c r="F31" s="219"/>
    </row>
    <row r="32" s="85" customFormat="1" ht="19.95" customHeight="1" spans="1:6">
      <c r="A32" s="135" t="s">
        <v>173</v>
      </c>
      <c r="B32" s="134"/>
      <c r="C32" s="70">
        <f>IFERROR(VLOOKUP("*"&amp;A32&amp;"*",[4]利润表!$A$6:$C$71,3,0),0)</f>
        <v>-457761510.46</v>
      </c>
      <c r="D32" s="90">
        <f>'[7]合并利润表 '!C32</f>
        <v>-49580125.33</v>
      </c>
      <c r="F32" s="219"/>
    </row>
    <row r="33" s="85" customFormat="1" ht="19.95" customHeight="1" spans="1:6">
      <c r="A33" s="135" t="s">
        <v>174</v>
      </c>
      <c r="B33" s="134"/>
      <c r="C33" s="70">
        <f>[1]利润表!C45</f>
        <v>0</v>
      </c>
      <c r="D33" s="99">
        <v>0</v>
      </c>
      <c r="F33" s="219"/>
    </row>
    <row r="34" s="85" customFormat="1" ht="19.95" customHeight="1" spans="1:6">
      <c r="A34" s="101" t="s">
        <v>175</v>
      </c>
      <c r="B34" s="134"/>
      <c r="C34" s="126">
        <f>C35+C36</f>
        <v>-457761510.46</v>
      </c>
      <c r="D34" s="90">
        <f>D35+D36</f>
        <v>-49580125.33</v>
      </c>
      <c r="F34" s="219"/>
    </row>
    <row r="35" s="85" customFormat="1" ht="19.95" customHeight="1" spans="1:6">
      <c r="A35" s="101" t="s">
        <v>176</v>
      </c>
      <c r="B35" s="134"/>
      <c r="C35" s="70">
        <f>IFERROR(VLOOKUP("*"&amp;A35&amp;"*",[4]利润表!$A$6:$C$71,3,0),0)</f>
        <v>-441758591.26</v>
      </c>
      <c r="D35" s="90">
        <f>'[7]合并利润表 '!C35</f>
        <v>-30312430.11</v>
      </c>
      <c r="F35" s="219"/>
    </row>
    <row r="36" s="85" customFormat="1" ht="19.95" customHeight="1" spans="1:6">
      <c r="A36" s="101" t="s">
        <v>177</v>
      </c>
      <c r="B36" s="134"/>
      <c r="C36" s="70">
        <f>IFERROR(VLOOKUP("*"&amp;A36&amp;"*",[4]利润表!$A$6:$C$71,3,0),0)</f>
        <v>-16002919.2</v>
      </c>
      <c r="D36" s="90">
        <f>'[7]合并利润表 '!C36</f>
        <v>-19267695.22</v>
      </c>
      <c r="F36" s="219"/>
    </row>
    <row r="37" s="85" customFormat="1" ht="19.95" customHeight="1" spans="1:6">
      <c r="A37" s="195" t="s">
        <v>178</v>
      </c>
      <c r="B37" s="134"/>
      <c r="C37" s="70">
        <f>C38+C53</f>
        <v>0</v>
      </c>
      <c r="D37" s="99">
        <v>0</v>
      </c>
      <c r="F37" s="219"/>
    </row>
    <row r="38" s="85" customFormat="1" ht="19.95" customHeight="1" spans="1:6">
      <c r="A38" s="101" t="s">
        <v>179</v>
      </c>
      <c r="B38" s="134"/>
      <c r="C38" s="70">
        <f>C39+C45</f>
        <v>0</v>
      </c>
      <c r="D38" s="99">
        <v>0</v>
      </c>
      <c r="F38" s="219"/>
    </row>
    <row r="39" s="85" customFormat="1" ht="19.95" customHeight="1" spans="1:6">
      <c r="A39" s="101" t="s">
        <v>180</v>
      </c>
      <c r="B39" s="134"/>
      <c r="C39" s="70">
        <f>SUM(C40:C44)</f>
        <v>0</v>
      </c>
      <c r="D39" s="99">
        <v>0</v>
      </c>
      <c r="F39" s="219"/>
    </row>
    <row r="40" s="85" customFormat="1" ht="19.95" customHeight="1" spans="1:6">
      <c r="A40" s="101" t="s">
        <v>181</v>
      </c>
      <c r="B40" s="224"/>
      <c r="C40" s="70"/>
      <c r="D40" s="99"/>
      <c r="F40" s="219"/>
    </row>
    <row r="41" s="85" customFormat="1" ht="19.95" customHeight="1" spans="1:6">
      <c r="A41" s="101" t="s">
        <v>182</v>
      </c>
      <c r="B41" s="224"/>
      <c r="C41" s="70"/>
      <c r="D41" s="99"/>
      <c r="F41" s="219"/>
    </row>
    <row r="42" s="85" customFormat="1" ht="19.95" customHeight="1" spans="1:6">
      <c r="A42" s="101" t="s">
        <v>183</v>
      </c>
      <c r="B42" s="224"/>
      <c r="C42" s="70"/>
      <c r="D42" s="99"/>
      <c r="F42" s="219"/>
    </row>
    <row r="43" s="85" customFormat="1" ht="19.95" customHeight="1" spans="1:6">
      <c r="A43" s="101" t="s">
        <v>184</v>
      </c>
      <c r="B43" s="224"/>
      <c r="C43" s="126"/>
      <c r="D43" s="90"/>
      <c r="F43" s="219"/>
    </row>
    <row r="44" s="85" customFormat="1" ht="19.95" customHeight="1" spans="1:6">
      <c r="A44" s="101" t="s">
        <v>185</v>
      </c>
      <c r="B44" s="224"/>
      <c r="C44" s="70"/>
      <c r="D44" s="99"/>
      <c r="F44" s="219"/>
    </row>
    <row r="45" s="85" customFormat="1" ht="19.95" customHeight="1" spans="1:6">
      <c r="A45" s="25" t="s">
        <v>186</v>
      </c>
      <c r="B45" s="224"/>
      <c r="C45" s="70">
        <f>SUM(C46:C52)</f>
        <v>0</v>
      </c>
      <c r="D45" s="99">
        <f>SUM(D46:D52)</f>
        <v>0</v>
      </c>
      <c r="F45" s="219"/>
    </row>
    <row r="46" s="85" customFormat="1" ht="19.95" customHeight="1" spans="1:6">
      <c r="A46" s="25" t="s">
        <v>187</v>
      </c>
      <c r="B46" s="224"/>
      <c r="C46" s="70"/>
      <c r="D46" s="99"/>
      <c r="F46" s="219"/>
    </row>
    <row r="47" s="85" customFormat="1" ht="19.95" customHeight="1" spans="1:6">
      <c r="A47" s="25" t="s">
        <v>188</v>
      </c>
      <c r="B47" s="224"/>
      <c r="C47" s="70"/>
      <c r="D47" s="99"/>
      <c r="F47" s="219"/>
    </row>
    <row r="48" s="85" customFormat="1" ht="19.95" customHeight="1" spans="1:6">
      <c r="A48" s="25" t="s">
        <v>189</v>
      </c>
      <c r="B48" s="134"/>
      <c r="C48" s="70"/>
      <c r="D48" s="99"/>
      <c r="F48" s="219"/>
    </row>
    <row r="49" s="85" customFormat="1" ht="19.95" customHeight="1" spans="1:6">
      <c r="A49" s="25" t="s">
        <v>190</v>
      </c>
      <c r="B49" s="134"/>
      <c r="C49" s="70"/>
      <c r="D49" s="99"/>
      <c r="F49" s="219"/>
    </row>
    <row r="50" s="85" customFormat="1" ht="19.95" customHeight="1" spans="1:6">
      <c r="A50" s="25" t="s">
        <v>191</v>
      </c>
      <c r="B50" s="134"/>
      <c r="C50" s="126"/>
      <c r="D50" s="90"/>
      <c r="F50" s="219"/>
    </row>
    <row r="51" s="85" customFormat="1" ht="19.95" customHeight="1" spans="1:6">
      <c r="A51" s="25" t="s">
        <v>192</v>
      </c>
      <c r="B51" s="134"/>
      <c r="C51" s="126"/>
      <c r="D51" s="90"/>
      <c r="F51" s="219"/>
    </row>
    <row r="52" s="85" customFormat="1" ht="19.95" customHeight="1" spans="1:6">
      <c r="A52" s="101" t="s">
        <v>193</v>
      </c>
      <c r="B52" s="134"/>
      <c r="C52" s="126"/>
      <c r="D52" s="90"/>
      <c r="F52" s="219"/>
    </row>
    <row r="53" s="85" customFormat="1" ht="19.95" customHeight="1" spans="1:6">
      <c r="A53" s="25" t="s">
        <v>194</v>
      </c>
      <c r="B53" s="134"/>
      <c r="C53" s="126"/>
      <c r="D53" s="90"/>
      <c r="F53" s="219"/>
    </row>
    <row r="54" s="85" customFormat="1" ht="19.95" customHeight="1" spans="1:6">
      <c r="A54" s="225" t="s">
        <v>195</v>
      </c>
      <c r="B54" s="134"/>
      <c r="C54" s="94">
        <f>C55+C56</f>
        <v>-457761510.46</v>
      </c>
      <c r="D54" s="95">
        <f>D55+D56</f>
        <v>-49580125.33</v>
      </c>
      <c r="F54" s="219"/>
    </row>
    <row r="55" s="85" customFormat="1" ht="19.95" customHeight="1" spans="1:6">
      <c r="A55" s="226" t="s">
        <v>196</v>
      </c>
      <c r="B55" s="134"/>
      <c r="C55" s="126">
        <f>C35+C38</f>
        <v>-441758591.26</v>
      </c>
      <c r="D55" s="90">
        <f>D35+D38</f>
        <v>-30312430.11</v>
      </c>
      <c r="F55" s="219"/>
    </row>
    <row r="56" s="85" customFormat="1" ht="19.95" customHeight="1" spans="1:6">
      <c r="A56" s="227" t="s">
        <v>197</v>
      </c>
      <c r="B56" s="228"/>
      <c r="C56" s="229">
        <f>C36+C53</f>
        <v>-16002919.2</v>
      </c>
      <c r="D56" s="230">
        <f>D36+D53</f>
        <v>-19267695.22</v>
      </c>
      <c r="F56" s="219"/>
    </row>
    <row r="57" s="85" customFormat="1" hidden="1" customHeight="1" spans="1:6">
      <c r="A57" s="195" t="s">
        <v>198</v>
      </c>
      <c r="B57" s="224"/>
      <c r="C57" s="231"/>
      <c r="D57" s="232"/>
      <c r="F57" s="219"/>
    </row>
    <row r="58" s="85" customFormat="1" hidden="1" customHeight="1" spans="1:6">
      <c r="A58" s="101" t="s">
        <v>199</v>
      </c>
      <c r="B58" s="134"/>
      <c r="C58" s="231"/>
      <c r="D58" s="232"/>
      <c r="F58" s="219"/>
    </row>
    <row r="59" s="85" customFormat="1" hidden="1" customHeight="1" spans="1:6">
      <c r="A59" s="227" t="s">
        <v>200</v>
      </c>
      <c r="B59" s="228"/>
      <c r="C59" s="233"/>
      <c r="D59" s="234"/>
      <c r="F59" s="219"/>
    </row>
    <row r="60" s="85" customFormat="1" ht="16.1" hidden="1" customHeight="1" spans="1:4">
      <c r="A60" s="235" t="s">
        <v>201</v>
      </c>
      <c r="B60" s="235"/>
      <c r="C60" s="235"/>
      <c r="D60" s="235"/>
    </row>
    <row r="61" s="85" customFormat="1" ht="17.25" customHeight="1" spans="1:3">
      <c r="A61" s="85" t="s">
        <v>202</v>
      </c>
      <c r="C61" s="236" t="s">
        <v>131</v>
      </c>
    </row>
    <row r="62" s="106" customFormat="1" ht="17.25" customHeight="1" spans="6:6">
      <c r="F62" s="106" t="e">
        <f>SUM(#REF!)</f>
        <v>#REF!</v>
      </c>
    </row>
    <row r="63" spans="1:6">
      <c r="A63" s="237"/>
      <c r="C63" s="238">
        <f>C54-[1]利润表!$C$66</f>
        <v>-598860436.28</v>
      </c>
      <c r="D63" s="238">
        <f>D54-'[2]合并利润表 '!$C$54</f>
        <v>-312846234.3</v>
      </c>
      <c r="F63" s="238" t="e">
        <f>#REF!/F62</f>
        <v>#REF!</v>
      </c>
    </row>
    <row r="64" s="106" customFormat="1" ht="12.75" spans="1:6">
      <c r="A64" s="44"/>
      <c r="F64" s="152"/>
    </row>
    <row r="65" spans="1:1">
      <c r="A65" s="106"/>
    </row>
    <row r="66" spans="1:1">
      <c r="A66" s="106"/>
    </row>
    <row r="67" spans="1:1">
      <c r="A67" s="106"/>
    </row>
  </sheetData>
  <mergeCells count="3">
    <mergeCell ref="A1:D1"/>
    <mergeCell ref="A2:D2"/>
    <mergeCell ref="A60:D60"/>
  </mergeCells>
  <printOptions horizontalCentered="1"/>
  <pageMargins left="0.708661417322835" right="0.708661417322835" top="1.02362204724409" bottom="0.748031496062992" header="0.31496062992126" footer="0.31496062992126"/>
  <pageSetup paperSize="9" scale="67" orientation="portrait"/>
  <headerFooter alignWithMargins="0" scaleWithDoc="0">
    <oddFooter>&amp;C&amp;"Arial Narrow,常规"&amp;P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F55"/>
  <sheetViews>
    <sheetView showZeros="0" view="pageBreakPreview" zoomScaleNormal="100" workbookViewId="0">
      <selection activeCell="E10" sqref="E10"/>
    </sheetView>
  </sheetViews>
  <sheetFormatPr defaultColWidth="9" defaultRowHeight="14.25" customHeight="1" outlineLevelCol="5"/>
  <cols>
    <col min="1" max="1" width="55.5666666666667" style="189" customWidth="1"/>
    <col min="2" max="2" width="14.7083333333333" style="189" customWidth="1"/>
    <col min="3" max="3" width="24.2083333333333" style="189" customWidth="1"/>
    <col min="4" max="4" width="23.2083333333333" style="189" customWidth="1"/>
    <col min="5" max="5" width="15.7083333333333" style="189" customWidth="1"/>
    <col min="6" max="6" width="14.2833333333333" style="189" customWidth="1"/>
    <col min="7" max="16384" width="9" style="189"/>
  </cols>
  <sheetData>
    <row r="1" ht="24.75" customHeight="1" spans="1:4">
      <c r="A1" s="190" t="s">
        <v>203</v>
      </c>
      <c r="B1" s="190"/>
      <c r="C1" s="190"/>
      <c r="D1" s="190"/>
    </row>
    <row r="2" ht="19.5" customHeight="1" spans="1:4">
      <c r="A2" s="191" t="s">
        <v>133</v>
      </c>
      <c r="B2" s="191"/>
      <c r="C2" s="191"/>
      <c r="D2" s="191"/>
    </row>
    <row r="3" ht="18.75" customHeight="1" spans="1:4">
      <c r="A3" s="192" t="str">
        <f>合并资产负债表!A3</f>
        <v>编制单位：平阳县国诚控股有限公司</v>
      </c>
      <c r="B3" s="192"/>
      <c r="C3" s="192"/>
      <c r="D3" s="193" t="s">
        <v>204</v>
      </c>
    </row>
    <row r="4" s="188" customFormat="1" ht="25.5" customHeight="1" spans="1:4">
      <c r="A4" s="194" t="s">
        <v>205</v>
      </c>
      <c r="B4" s="55" t="s">
        <v>4</v>
      </c>
      <c r="C4" s="55" t="str">
        <f>'合并利润表 '!C4</f>
        <v>本年金额</v>
      </c>
      <c r="D4" s="56" t="str">
        <f>'合并利润表 '!D4</f>
        <v>上年金额</v>
      </c>
    </row>
    <row r="5" ht="25.5" customHeight="1" spans="1:4">
      <c r="A5" s="195" t="s">
        <v>206</v>
      </c>
      <c r="B5" s="196"/>
      <c r="C5" s="197"/>
      <c r="D5" s="197"/>
    </row>
    <row r="6" ht="25.5" customHeight="1" spans="1:5">
      <c r="A6" s="101" t="s">
        <v>207</v>
      </c>
      <c r="B6" s="196"/>
      <c r="C6" s="198">
        <f>IFERROR(VLOOKUP("*"&amp;A6&amp;"*",[4]现金流量表!$A$6:$D$63,3,0),0)</f>
        <v>419591869.094762</v>
      </c>
      <c r="D6" s="198">
        <f>'[7]合并现金流量表 '!C6</f>
        <v>754487645.32</v>
      </c>
      <c r="E6" s="199"/>
    </row>
    <row r="7" ht="25.5" customHeight="1" spans="1:5">
      <c r="A7" s="101" t="s">
        <v>208</v>
      </c>
      <c r="B7" s="196"/>
      <c r="C7" s="198">
        <f>IFERROR(VLOOKUP("*"&amp;A7&amp;"*",[4]现金流量表!$A$6:$D$63,3,0),0)</f>
        <v>15559.84</v>
      </c>
      <c r="D7" s="198">
        <f>'[7]合并现金流量表 '!C7</f>
        <v>30930.9</v>
      </c>
      <c r="E7" s="199"/>
    </row>
    <row r="8" ht="25.5" customHeight="1" spans="1:5">
      <c r="A8" s="101" t="s">
        <v>209</v>
      </c>
      <c r="B8" s="134"/>
      <c r="C8" s="198">
        <f>IFERROR(VLOOKUP("*"&amp;A8&amp;"*",[4]现金流量表!$A$6:$D$63,3,0),0)</f>
        <v>10645108775.3395</v>
      </c>
      <c r="D8" s="198">
        <f>'[7]合并现金流量表 '!C8</f>
        <v>6452727717.26</v>
      </c>
      <c r="E8" s="199"/>
    </row>
    <row r="9" ht="25.5" customHeight="1" spans="1:5">
      <c r="A9" s="200" t="s">
        <v>210</v>
      </c>
      <c r="B9" s="196"/>
      <c r="C9" s="197">
        <f>SUM(C6:C8)</f>
        <v>11064716204.2743</v>
      </c>
      <c r="D9" s="197">
        <f>SUM(D6:D8)</f>
        <v>7207246293.48</v>
      </c>
      <c r="E9" s="199"/>
    </row>
    <row r="10" ht="25.5" customHeight="1" spans="1:5">
      <c r="A10" s="101" t="s">
        <v>211</v>
      </c>
      <c r="B10" s="196"/>
      <c r="C10" s="198">
        <f>IFERROR(VLOOKUP("*"&amp;A10&amp;"*",[4]现金流量表!$A$6:$D$63,3,0),0)</f>
        <v>4672890178.22</v>
      </c>
      <c r="D10" s="198">
        <f>'[7]合并现金流量表 '!C10</f>
        <v>4235920246.62146</v>
      </c>
      <c r="E10" s="199"/>
    </row>
    <row r="11" ht="25.5" customHeight="1" spans="1:5">
      <c r="A11" s="101" t="s">
        <v>212</v>
      </c>
      <c r="B11" s="196"/>
      <c r="C11" s="198">
        <f>IFERROR(VLOOKUP("*"&amp;A11&amp;"*",[4]现金流量表!$A$6:$D$63,3,0),0)</f>
        <v>148040184.03</v>
      </c>
      <c r="D11" s="198">
        <f>'[7]合并现金流量表 '!C11</f>
        <v>51065421.55</v>
      </c>
      <c r="E11" s="199"/>
    </row>
    <row r="12" ht="25.5" customHeight="1" spans="1:5">
      <c r="A12" s="101" t="s">
        <v>213</v>
      </c>
      <c r="B12" s="196"/>
      <c r="C12" s="198">
        <f>IFERROR(VLOOKUP("*"&amp;A12&amp;"*",[4]现金流量表!$A$6:$D$63,3,0),0)</f>
        <v>108499189.14</v>
      </c>
      <c r="D12" s="198">
        <f>'[7]合并现金流量表 '!C12</f>
        <v>60006707.45</v>
      </c>
      <c r="E12" s="199"/>
    </row>
    <row r="13" ht="25.5" customHeight="1" spans="1:5">
      <c r="A13" s="101" t="s">
        <v>214</v>
      </c>
      <c r="B13" s="134"/>
      <c r="C13" s="198">
        <f>IFERROR(VLOOKUP("*"&amp;A13&amp;"*",[4]现金流量表!$A$6:$D$63,3,0),0)</f>
        <v>7206380954.01428</v>
      </c>
      <c r="D13" s="198">
        <f>'[7]合并现金流量表 '!C13</f>
        <v>4743143780.79854</v>
      </c>
      <c r="E13" s="199"/>
    </row>
    <row r="14" ht="25.5" customHeight="1" spans="1:5">
      <c r="A14" s="200" t="s">
        <v>215</v>
      </c>
      <c r="B14" s="196"/>
      <c r="C14" s="197">
        <f>SUM(C10:C13)</f>
        <v>12135810505.4043</v>
      </c>
      <c r="D14" s="197">
        <f>SUM(D10:D13)</f>
        <v>9090136156.42</v>
      </c>
      <c r="E14" s="199"/>
    </row>
    <row r="15" ht="25.5" customHeight="1" spans="1:5">
      <c r="A15" s="201" t="s">
        <v>216</v>
      </c>
      <c r="B15" s="202"/>
      <c r="C15" s="203">
        <f>C9-C14</f>
        <v>-1071094301.12999</v>
      </c>
      <c r="D15" s="203">
        <f>D9-D14</f>
        <v>-1882889862.94</v>
      </c>
      <c r="E15" s="199"/>
    </row>
    <row r="16" ht="25.5" customHeight="1" spans="1:5">
      <c r="A16" s="195" t="s">
        <v>217</v>
      </c>
      <c r="B16" s="196"/>
      <c r="C16" s="197"/>
      <c r="D16" s="197"/>
      <c r="E16" s="199"/>
    </row>
    <row r="17" ht="25.5" customHeight="1" spans="1:5">
      <c r="A17" s="101" t="s">
        <v>218</v>
      </c>
      <c r="B17" s="196"/>
      <c r="C17" s="198">
        <f>IFERROR(VLOOKUP("*"&amp;A17&amp;"*",[4]现金流量表!$A$6:$D$63,3,0),0)</f>
        <v>5336250</v>
      </c>
      <c r="D17" s="198">
        <f>'[7]合并现金流量表 '!C17</f>
        <v>127710000</v>
      </c>
      <c r="E17" s="199"/>
    </row>
    <row r="18" ht="25.5" customHeight="1" spans="1:5">
      <c r="A18" s="101" t="s">
        <v>219</v>
      </c>
      <c r="B18" s="196"/>
      <c r="C18" s="198">
        <f>IFERROR(VLOOKUP("*"&amp;A18&amp;"*",[4]现金流量表!$A$6:$D$63,3,0),0)</f>
        <v>351204784.2</v>
      </c>
      <c r="D18" s="198">
        <f>'[7]合并现金流量表 '!C18</f>
        <v>2306694.0899998</v>
      </c>
      <c r="E18" s="199"/>
    </row>
    <row r="19" ht="25.5" customHeight="1" spans="1:5">
      <c r="A19" s="101" t="s">
        <v>220</v>
      </c>
      <c r="B19" s="196"/>
      <c r="C19" s="198">
        <f>IFERROR(VLOOKUP("*"&amp;A19&amp;"*",[4]现金流量表!$A$6:$D$63,3,0),0)</f>
        <v>202724446.09</v>
      </c>
      <c r="D19" s="198">
        <f>'[7]合并现金流量表 '!C19</f>
        <v>2071671.17</v>
      </c>
      <c r="E19" s="199"/>
    </row>
    <row r="20" ht="25.5" customHeight="1" spans="1:5">
      <c r="A20" s="101" t="s">
        <v>221</v>
      </c>
      <c r="B20" s="196"/>
      <c r="C20" s="198">
        <f>IFERROR(VLOOKUP("*"&amp;A20&amp;"*",[4]现金流量表!$A$6:$D$63,3,0),0)</f>
        <v>0</v>
      </c>
      <c r="D20" s="198">
        <f>'[7]合并现金流量表 '!C20</f>
        <v>300000000</v>
      </c>
      <c r="E20" s="199"/>
    </row>
    <row r="21" ht="25.5" customHeight="1" spans="1:6">
      <c r="A21" s="101" t="s">
        <v>222</v>
      </c>
      <c r="B21" s="134"/>
      <c r="C21" s="198">
        <f>IFERROR(VLOOKUP("*"&amp;A21&amp;"*",[4]现金流量表!$A$6:$D$63,3,0),0)</f>
        <v>2409687.94</v>
      </c>
      <c r="D21" s="198">
        <f>'[7]合并现金流量表 '!C21</f>
        <v>0</v>
      </c>
      <c r="E21" s="199"/>
      <c r="F21" s="204"/>
    </row>
    <row r="22" ht="25.5" customHeight="1" spans="1:6">
      <c r="A22" s="200" t="s">
        <v>223</v>
      </c>
      <c r="B22" s="196"/>
      <c r="C22" s="198">
        <f>SUM(C17:C21)</f>
        <v>561675168.23</v>
      </c>
      <c r="D22" s="198">
        <f>SUM(D17:D21)</f>
        <v>432088365.26</v>
      </c>
      <c r="E22" s="199"/>
      <c r="F22" s="204"/>
    </row>
    <row r="23" ht="25.5" customHeight="1" spans="1:5">
      <c r="A23" s="101" t="s">
        <v>224</v>
      </c>
      <c r="B23" s="196"/>
      <c r="C23" s="198">
        <f>IFERROR(VLOOKUP("*"&amp;A23&amp;"*",[4]现金流量表!$A$6:$D$63,3,0),0)</f>
        <v>580096288.85</v>
      </c>
      <c r="D23" s="198">
        <f>'[7]合并现金流量表 '!C23</f>
        <v>1223711257.17</v>
      </c>
      <c r="E23" s="199"/>
    </row>
    <row r="24" ht="25.5" customHeight="1" spans="1:5">
      <c r="A24" s="101" t="s">
        <v>225</v>
      </c>
      <c r="B24" s="196"/>
      <c r="C24" s="198">
        <f>IFERROR(VLOOKUP("*"&amp;A24&amp;"*",[4]现金流量表!$A$6:$D$63,3,0),0)</f>
        <v>114050000</v>
      </c>
      <c r="D24" s="198">
        <f>'[7]合并现金流量表 '!C24</f>
        <v>61219933.25</v>
      </c>
      <c r="E24" s="199"/>
    </row>
    <row r="25" ht="25.5" customHeight="1" spans="1:5">
      <c r="A25" s="101" t="s">
        <v>226</v>
      </c>
      <c r="B25" s="196"/>
      <c r="C25" s="198">
        <f>IFERROR(VLOOKUP("*"&amp;A25&amp;"*",[4]现金流量表!$A$6:$D$63,3,0),0)</f>
        <v>113070000</v>
      </c>
      <c r="D25" s="198">
        <f>'[7]合并现金流量表 '!C25</f>
        <v>3500000</v>
      </c>
      <c r="E25" s="199"/>
    </row>
    <row r="26" ht="25.5" customHeight="1" spans="1:5">
      <c r="A26" s="101" t="s">
        <v>227</v>
      </c>
      <c r="B26" s="134"/>
      <c r="C26" s="198">
        <f>IFERROR(VLOOKUP("*"&amp;A26&amp;"*",[4]现金流量表!$A$6:$D$63,3,0),0)</f>
        <v>0</v>
      </c>
      <c r="D26" s="198">
        <f>'[7]合并现金流量表 '!C26</f>
        <v>0</v>
      </c>
      <c r="E26" s="199"/>
    </row>
    <row r="27" ht="25.5" customHeight="1" spans="1:5">
      <c r="A27" s="200" t="s">
        <v>228</v>
      </c>
      <c r="B27" s="196"/>
      <c r="C27" s="197">
        <f>SUM(C23:C26)</f>
        <v>807216288.85</v>
      </c>
      <c r="D27" s="197">
        <f>SUM(D23:D26)</f>
        <v>1288431190.42</v>
      </c>
      <c r="E27" s="199"/>
    </row>
    <row r="28" ht="25.5" customHeight="1" spans="1:5">
      <c r="A28" s="201" t="s">
        <v>229</v>
      </c>
      <c r="B28" s="196"/>
      <c r="C28" s="203">
        <f>C22-C27</f>
        <v>-245541120.62</v>
      </c>
      <c r="D28" s="203">
        <f>D22-D27</f>
        <v>-856342825.16</v>
      </c>
      <c r="E28" s="199"/>
    </row>
    <row r="29" ht="25.5" customHeight="1" spans="1:5">
      <c r="A29" s="195" t="s">
        <v>230</v>
      </c>
      <c r="B29" s="196"/>
      <c r="C29" s="198"/>
      <c r="D29" s="198"/>
      <c r="E29" s="199"/>
    </row>
    <row r="30" s="188" customFormat="1" ht="25.5" customHeight="1" spans="1:5">
      <c r="A30" s="101" t="s">
        <v>231</v>
      </c>
      <c r="B30" s="205"/>
      <c r="C30" s="198">
        <f>IFERROR(VLOOKUP("*"&amp;A30&amp;"*",[4]现金流量表!$A$6:$D$63,3,0),0)</f>
        <v>366670000</v>
      </c>
      <c r="D30" s="198">
        <f>'[7]合并现金流量表 '!C30</f>
        <v>6504200</v>
      </c>
      <c r="E30" s="199"/>
    </row>
    <row r="31" s="188" customFormat="1" ht="25.75" customHeight="1" spans="1:5">
      <c r="A31" s="101" t="s">
        <v>232</v>
      </c>
      <c r="B31" s="205"/>
      <c r="C31" s="198">
        <f>IFERROR(VLOOKUP("*"&amp;A31&amp;"*",[4]现金流量表!$A$6:$D$63,3,0),0)</f>
        <v>0</v>
      </c>
      <c r="D31" s="198">
        <f>'[7]合并现金流量表 '!C31</f>
        <v>0</v>
      </c>
      <c r="E31" s="199"/>
    </row>
    <row r="32" ht="25.5" customHeight="1" spans="1:5">
      <c r="A32" s="101" t="s">
        <v>233</v>
      </c>
      <c r="B32" s="196"/>
      <c r="C32" s="198">
        <f>IFERROR(VLOOKUP("*"&amp;A32&amp;"*",[4]现金流量表!$A$6:$D$63,3,0),0)</f>
        <v>11991331835.64</v>
      </c>
      <c r="D32" s="198">
        <f>'[7]合并现金流量表 '!C32</f>
        <v>7343616242.52</v>
      </c>
      <c r="E32" s="199"/>
    </row>
    <row r="33" ht="25.5" customHeight="1" spans="1:5">
      <c r="A33" s="101" t="s">
        <v>234</v>
      </c>
      <c r="B33" s="134"/>
      <c r="C33" s="198">
        <f>IFERROR(VLOOKUP("*"&amp;A33&amp;"*",[4]现金流量表!$A$6:$D$63,3,0),0)</f>
        <v>2142756737.75</v>
      </c>
      <c r="D33" s="198">
        <f>'[7]合并现金流量表 '!C33</f>
        <v>2369755779</v>
      </c>
      <c r="E33" s="199"/>
    </row>
    <row r="34" ht="25.5" customHeight="1" spans="1:5">
      <c r="A34" s="200" t="s">
        <v>235</v>
      </c>
      <c r="B34" s="196"/>
      <c r="C34" s="197">
        <f>SUM(C30+C32+C33)</f>
        <v>14500758573.39</v>
      </c>
      <c r="D34" s="197">
        <f>SUM(D30+D32+D33)</f>
        <v>9719876221.52</v>
      </c>
      <c r="E34" s="199"/>
    </row>
    <row r="35" ht="25.5" customHeight="1" spans="1:5">
      <c r="A35" s="101" t="s">
        <v>236</v>
      </c>
      <c r="B35" s="196"/>
      <c r="C35" s="198">
        <f>IFERROR(VLOOKUP("*"&amp;A35&amp;"*",[4]现金流量表!$A$6:$D$63,3,0),0)</f>
        <v>8123968404.87</v>
      </c>
      <c r="D35" s="198">
        <f>'[7]合并现金流量表 '!C35</f>
        <v>4612613164.77</v>
      </c>
      <c r="E35" s="199"/>
    </row>
    <row r="36" ht="25.5" customHeight="1" spans="1:5">
      <c r="A36" s="101" t="s">
        <v>237</v>
      </c>
      <c r="B36" s="196"/>
      <c r="C36" s="198">
        <f>IFERROR(VLOOKUP("*"&amp;A36&amp;"*",[4]现金流量表!$A$6:$D$63,3,0),0)</f>
        <v>881724226.05</v>
      </c>
      <c r="D36" s="198">
        <f>'[7]合并现金流量表 '!C36</f>
        <v>920660794.22</v>
      </c>
      <c r="E36" s="199"/>
    </row>
    <row r="37" ht="25.5" customHeight="1" spans="1:5">
      <c r="A37" s="101" t="s">
        <v>238</v>
      </c>
      <c r="B37" s="196"/>
      <c r="C37" s="198">
        <f>IFERROR(VLOOKUP("*"&amp;A37&amp;"*",[4]现金流量表!$A$6:$D$63,3,0),0)</f>
        <v>0</v>
      </c>
      <c r="D37" s="198">
        <f>'[7]合并现金流量表 '!C37</f>
        <v>0</v>
      </c>
      <c r="E37" s="199"/>
    </row>
    <row r="38" ht="25.5" customHeight="1" spans="1:5">
      <c r="A38" s="101" t="s">
        <v>239</v>
      </c>
      <c r="B38" s="134"/>
      <c r="C38" s="198">
        <f>IFERROR(VLOOKUP("*"&amp;A38&amp;"*",[4]现金流量表!$A$6:$D$63,3,0),0)</f>
        <v>728524992.81</v>
      </c>
      <c r="D38" s="198">
        <f>'[7]合并现金流量表 '!C38</f>
        <v>1294303968.2</v>
      </c>
      <c r="E38" s="199"/>
    </row>
    <row r="39" ht="25.5" customHeight="1" spans="1:5">
      <c r="A39" s="200" t="s">
        <v>240</v>
      </c>
      <c r="B39" s="196"/>
      <c r="C39" s="197">
        <f>C35+C36+C38</f>
        <v>9734217623.73</v>
      </c>
      <c r="D39" s="197">
        <f>D35+D36+D38</f>
        <v>6827577927.19</v>
      </c>
      <c r="E39" s="199"/>
    </row>
    <row r="40" ht="25.5" customHeight="1" spans="1:5">
      <c r="A40" s="201" t="s">
        <v>241</v>
      </c>
      <c r="B40" s="196"/>
      <c r="C40" s="203">
        <f>C34-C39</f>
        <v>4766540949.66</v>
      </c>
      <c r="D40" s="203">
        <f>D34-D39</f>
        <v>2892298294.33</v>
      </c>
      <c r="E40" s="199"/>
    </row>
    <row r="41" ht="25.5" customHeight="1" spans="1:5">
      <c r="A41" s="195" t="s">
        <v>242</v>
      </c>
      <c r="B41" s="196"/>
      <c r="C41" s="197"/>
      <c r="D41" s="197"/>
      <c r="E41" s="199"/>
    </row>
    <row r="42" ht="25.5" customHeight="1" spans="1:5">
      <c r="A42" s="195" t="s">
        <v>243</v>
      </c>
      <c r="B42" s="134"/>
      <c r="C42" s="203">
        <f>C15+C28+C40+C41</f>
        <v>3449905527.91001</v>
      </c>
      <c r="D42" s="203">
        <f>D15+D28+D40+D41</f>
        <v>153065606.230001</v>
      </c>
      <c r="E42" s="199"/>
    </row>
    <row r="43" ht="25.5" customHeight="1" spans="1:5">
      <c r="A43" s="101" t="s">
        <v>244</v>
      </c>
      <c r="B43" s="134"/>
      <c r="C43" s="198">
        <f>IFERROR(VLOOKUP("*"&amp;A43&amp;"*",[4]现金流量表!$A$6:$D$63,3,0),0)</f>
        <v>1845693086.57</v>
      </c>
      <c r="D43" s="198">
        <f>'[7]合并现金流量表 '!C43</f>
        <v>3463221321.84</v>
      </c>
      <c r="E43" s="199"/>
    </row>
    <row r="44" ht="25.5" customHeight="1" spans="1:5">
      <c r="A44" s="206" t="s">
        <v>245</v>
      </c>
      <c r="B44" s="207"/>
      <c r="C44" s="208">
        <f>C42+C43</f>
        <v>5295598614.48001</v>
      </c>
      <c r="D44" s="208">
        <f>D42+D43</f>
        <v>3616286928.07</v>
      </c>
      <c r="E44" s="199"/>
    </row>
    <row r="45" s="106" customFormat="1" ht="18" customHeight="1" spans="1:4">
      <c r="A45" s="209" t="s">
        <v>246</v>
      </c>
      <c r="B45" s="209"/>
      <c r="C45" s="193" t="s">
        <v>247</v>
      </c>
      <c r="D45" s="151"/>
    </row>
    <row r="46" s="106" customFormat="1" ht="23.25" hidden="1" customHeight="1" spans="1:4">
      <c r="A46" s="151"/>
      <c r="B46" s="151"/>
      <c r="C46" s="210">
        <f>C44-合并资产负债表!C6</f>
        <v>-183638066.789987</v>
      </c>
      <c r="D46" s="210">
        <f>D44-合并资产负债表!D6</f>
        <v>1584443516.68</v>
      </c>
    </row>
    <row r="47" s="106" customFormat="1" hidden="1" customHeight="1" spans="3:4">
      <c r="C47" s="161"/>
      <c r="D47" s="161"/>
    </row>
    <row r="48" hidden="1" customHeight="1" spans="1:5">
      <c r="A48" s="151"/>
      <c r="B48" s="189" t="s">
        <v>248</v>
      </c>
      <c r="C48" s="161">
        <v>232478135.33</v>
      </c>
      <c r="D48" s="161">
        <f>'[2]合并现金流量表 '!$C$48</f>
        <v>169952946.82</v>
      </c>
      <c r="E48" s="211" t="s">
        <v>249</v>
      </c>
    </row>
    <row r="49" hidden="1" customHeight="1" spans="3:4">
      <c r="C49" s="212"/>
      <c r="D49" s="212"/>
    </row>
    <row r="50" hidden="1" customHeight="1" spans="3:4">
      <c r="C50" s="212">
        <f>C46+C48</f>
        <v>48840068.5400134</v>
      </c>
      <c r="D50" s="212">
        <f>D46+D48</f>
        <v>1754396463.5</v>
      </c>
    </row>
    <row r="51" hidden="1" customHeight="1" spans="3:4">
      <c r="C51" s="212"/>
      <c r="D51" s="212"/>
    </row>
    <row r="52" hidden="1" customHeight="1" spans="3:4">
      <c r="C52" s="212">
        <f>C44-[1]现金流量表!$C$62</f>
        <v>3496233338.42001</v>
      </c>
      <c r="D52" s="212">
        <f>D44-'[2]合并现金流量表 '!$C$44</f>
        <v>153065606.230011</v>
      </c>
    </row>
    <row r="53" hidden="1" customHeight="1" spans="3:4">
      <c r="C53" s="212"/>
      <c r="D53" s="212"/>
    </row>
    <row r="54" customHeight="1" spans="3:4">
      <c r="C54" s="212"/>
      <c r="D54" s="212"/>
    </row>
    <row r="55" customHeight="1" spans="3:4">
      <c r="C55" s="212"/>
      <c r="D55" s="212"/>
    </row>
  </sheetData>
  <mergeCells count="4">
    <mergeCell ref="A1:D1"/>
    <mergeCell ref="A2:D2"/>
    <mergeCell ref="A3:C3"/>
    <mergeCell ref="A45:B45"/>
  </mergeCells>
  <printOptions horizontalCentered="1"/>
  <pageMargins left="0.708661417322835" right="0.708661417322835" top="1.02362204724409" bottom="0.748031496062992" header="0.31496062992126" footer="0.31496062992126"/>
  <pageSetup paperSize="9" scale="68" orientation="portrait"/>
  <headerFooter alignWithMargins="0" scaleWithDoc="0">
    <oddFooter>&amp;C&amp;"Arial Narrow,常规"&amp;P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771"/>
  <sheetViews>
    <sheetView showZeros="0" view="pageBreakPreview" zoomScale="70" zoomScalePageLayoutView="85" zoomScaleNormal="100" workbookViewId="0">
      <selection activeCell="E10" sqref="E10"/>
    </sheetView>
  </sheetViews>
  <sheetFormatPr defaultColWidth="9" defaultRowHeight="12.75"/>
  <cols>
    <col min="1" max="1" width="32.5666666666667" style="162" customWidth="1"/>
    <col min="2" max="2" width="16.2083333333333" style="162" customWidth="1"/>
    <col min="3" max="3" width="8.20833333333333" style="162" customWidth="1"/>
    <col min="4" max="4" width="8.06666666666667" style="162" customWidth="1"/>
    <col min="5" max="5" width="8.56666666666667" style="162" customWidth="1"/>
    <col min="6" max="6" width="19.5" style="162" customWidth="1"/>
    <col min="7" max="7" width="12.3583333333333" style="162" customWidth="1"/>
    <col min="8" max="8" width="13.7833333333333" style="162" customWidth="1"/>
    <col min="9" max="9" width="12.425" style="162" customWidth="1"/>
    <col min="10" max="10" width="14.7083333333333" style="162" customWidth="1"/>
    <col min="11" max="11" width="15.925" style="162" customWidth="1"/>
    <col min="12" max="12" width="17.2083333333333" style="162" customWidth="1"/>
    <col min="13" max="13" width="16.2083333333333" style="162" customWidth="1"/>
    <col min="14" max="14" width="18.3583333333333" style="162" customWidth="1"/>
    <col min="15" max="15" width="9" style="162"/>
    <col min="16" max="16" width="9" style="162" hidden="1" customWidth="1"/>
    <col min="17" max="17" width="11.5" style="162" customWidth="1"/>
    <col min="18" max="18" width="13.0666666666667" style="162" customWidth="1"/>
    <col min="19" max="16384" width="9" style="162"/>
  </cols>
  <sheetData>
    <row r="1" ht="20.25" spans="1:14">
      <c r="A1" s="163" t="s">
        <v>250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ht="21" customHeight="1" spans="1:14">
      <c r="A2" s="164" t="str">
        <f>'合并利润表 '!A2</f>
        <v> 2025年1-6月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ht="18.75" customHeight="1" spans="1:14">
      <c r="A3" s="162" t="str">
        <f>合并资产负债表!A3</f>
        <v>编制单位：平阳县国诚控股有限公司</v>
      </c>
      <c r="F3" s="165"/>
      <c r="G3" s="8"/>
      <c r="H3" s="8"/>
      <c r="M3" s="177"/>
      <c r="N3" s="178" t="s">
        <v>251</v>
      </c>
    </row>
    <row r="4" ht="18.75" customHeight="1" spans="1:14">
      <c r="A4" s="166" t="s">
        <v>252</v>
      </c>
      <c r="B4" s="167" t="s">
        <v>5</v>
      </c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79"/>
    </row>
    <row r="5" ht="18.75" customHeight="1" spans="1:14">
      <c r="A5" s="169"/>
      <c r="B5" s="170" t="s">
        <v>253</v>
      </c>
      <c r="C5" s="171"/>
      <c r="D5" s="171"/>
      <c r="E5" s="171"/>
      <c r="F5" s="171"/>
      <c r="G5" s="171"/>
      <c r="H5" s="171"/>
      <c r="I5" s="171"/>
      <c r="J5" s="171"/>
      <c r="K5" s="171"/>
      <c r="L5" s="180"/>
      <c r="M5" s="14" t="s">
        <v>254</v>
      </c>
      <c r="N5" s="181" t="s">
        <v>126</v>
      </c>
    </row>
    <row r="6" ht="18.75" customHeight="1" spans="1:14">
      <c r="A6" s="169"/>
      <c r="B6" s="14" t="s">
        <v>255</v>
      </c>
      <c r="C6" s="14" t="s">
        <v>256</v>
      </c>
      <c r="D6" s="14"/>
      <c r="E6" s="14"/>
      <c r="F6" s="14" t="s">
        <v>257</v>
      </c>
      <c r="G6" s="14" t="s">
        <v>258</v>
      </c>
      <c r="H6" s="14" t="s">
        <v>259</v>
      </c>
      <c r="I6" s="14" t="s">
        <v>260</v>
      </c>
      <c r="J6" s="14" t="s">
        <v>261</v>
      </c>
      <c r="K6" s="14" t="s">
        <v>262</v>
      </c>
      <c r="L6" s="182" t="s">
        <v>263</v>
      </c>
      <c r="M6" s="14"/>
      <c r="N6" s="181"/>
    </row>
    <row r="7" ht="18.75" customHeight="1" spans="1:14">
      <c r="A7" s="169"/>
      <c r="B7" s="14"/>
      <c r="C7" s="14" t="s">
        <v>264</v>
      </c>
      <c r="D7" s="14" t="s">
        <v>265</v>
      </c>
      <c r="E7" s="14" t="s">
        <v>266</v>
      </c>
      <c r="F7" s="14"/>
      <c r="G7" s="14"/>
      <c r="H7" s="14"/>
      <c r="I7" s="14"/>
      <c r="J7" s="14"/>
      <c r="K7" s="14"/>
      <c r="L7" s="183"/>
      <c r="M7" s="14"/>
      <c r="N7" s="181"/>
    </row>
    <row r="8" ht="19.5" customHeight="1" spans="1:18">
      <c r="A8" s="172" t="s">
        <v>267</v>
      </c>
      <c r="B8" s="18">
        <f>'[6]合并所有者权益变动表 '!B36</f>
        <v>1500000000</v>
      </c>
      <c r="C8" s="18">
        <f>'[6]合并所有者权益变动表 '!C36</f>
        <v>0</v>
      </c>
      <c r="D8" s="18">
        <f>'[6]合并所有者权益变动表 '!D36</f>
        <v>0</v>
      </c>
      <c r="E8" s="18">
        <f>'[6]合并所有者权益变动表 '!E36</f>
        <v>0</v>
      </c>
      <c r="F8" s="18">
        <f>'[6]合并所有者权益变动表 '!F36</f>
        <v>21059068253.46</v>
      </c>
      <c r="G8" s="18">
        <f>'[6]合并所有者权益变动表 '!G36</f>
        <v>0</v>
      </c>
      <c r="H8" s="18">
        <f>'[6]合并所有者权益变动表 '!H36</f>
        <v>390962134.89</v>
      </c>
      <c r="I8" s="18">
        <f>'[6]合并所有者权益变动表 '!I36</f>
        <v>6141337.51</v>
      </c>
      <c r="J8" s="18">
        <f>'[6]合并所有者权益变动表 '!J36</f>
        <v>70332998.57</v>
      </c>
      <c r="K8" s="18">
        <f>'[6]合并所有者权益变动表 '!K36</f>
        <v>2539928496.62</v>
      </c>
      <c r="L8" s="18">
        <f>合并资产负债表!$H$47</f>
        <v>25566433221.05</v>
      </c>
      <c r="M8" s="18">
        <f>合并资产负债表!$H$48</f>
        <v>5073906015.11</v>
      </c>
      <c r="N8" s="18">
        <f>合并资产负债表!$H$49</f>
        <v>30640339236.16</v>
      </c>
      <c r="P8" s="184" t="e">
        <f>(#REF!-'合并利润表 '!#REF!)/(N8+(N17*7/12)+(#REF!/2)+(#REF!/2))</f>
        <v>#REF!</v>
      </c>
      <c r="R8" s="186">
        <f>M8-合并资产负债表!H48</f>
        <v>0</v>
      </c>
    </row>
    <row r="9" ht="19.5" customHeight="1" spans="1:14">
      <c r="A9" s="25" t="s">
        <v>268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>
        <f t="shared" ref="L9:L35" si="0">SUM(B9:F9)-G9+SUM(H9:K9)</f>
        <v>0</v>
      </c>
      <c r="M9" s="21"/>
      <c r="N9" s="39">
        <f>L9+M9</f>
        <v>0</v>
      </c>
    </row>
    <row r="10" ht="19.5" customHeight="1" spans="1:14">
      <c r="A10" s="25" t="s">
        <v>269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>
        <f t="shared" si="0"/>
        <v>0</v>
      </c>
      <c r="M10" s="21"/>
      <c r="N10" s="39">
        <f>L10+M10</f>
        <v>0</v>
      </c>
    </row>
    <row r="11" ht="19.5" customHeight="1" spans="1:14">
      <c r="A11" s="25" t="s">
        <v>270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>
        <f t="shared" si="0"/>
        <v>0</v>
      </c>
      <c r="M11" s="21"/>
      <c r="N11" s="39">
        <f>L11+M11</f>
        <v>0</v>
      </c>
    </row>
    <row r="12" ht="19.5" customHeight="1" spans="1:14">
      <c r="A12" s="25" t="s">
        <v>271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>
        <f t="shared" si="0"/>
        <v>0</v>
      </c>
      <c r="M12" s="21"/>
      <c r="N12" s="39">
        <f>L12+M12</f>
        <v>0</v>
      </c>
    </row>
    <row r="13" ht="19.5" customHeight="1" spans="1:14">
      <c r="A13" s="172" t="s">
        <v>272</v>
      </c>
      <c r="B13" s="18">
        <f>SUM(B8:B12)</f>
        <v>1500000000</v>
      </c>
      <c r="C13" s="18">
        <f t="shared" ref="C13:N13" si="1">SUM(C8:C12)</f>
        <v>0</v>
      </c>
      <c r="D13" s="18">
        <f t="shared" si="1"/>
        <v>0</v>
      </c>
      <c r="E13" s="18">
        <f t="shared" si="1"/>
        <v>0</v>
      </c>
      <c r="F13" s="18">
        <f t="shared" si="1"/>
        <v>21059068253.46</v>
      </c>
      <c r="G13" s="18">
        <f t="shared" si="1"/>
        <v>0</v>
      </c>
      <c r="H13" s="18">
        <f t="shared" si="1"/>
        <v>390962134.89</v>
      </c>
      <c r="I13" s="18">
        <f t="shared" si="1"/>
        <v>6141337.51</v>
      </c>
      <c r="J13" s="18">
        <f t="shared" si="1"/>
        <v>70332998.57</v>
      </c>
      <c r="K13" s="18">
        <f t="shared" si="1"/>
        <v>2539928496.62</v>
      </c>
      <c r="L13" s="18">
        <f t="shared" si="1"/>
        <v>25566433221.05</v>
      </c>
      <c r="M13" s="18">
        <f t="shared" si="1"/>
        <v>5073906015.11</v>
      </c>
      <c r="N13" s="18">
        <f t="shared" si="1"/>
        <v>30640339236.16</v>
      </c>
    </row>
    <row r="14" ht="24.45" customHeight="1" spans="1:14">
      <c r="A14" s="172" t="s">
        <v>273</v>
      </c>
      <c r="B14" s="22">
        <f>B15+B16+B21+B25+B32+B35</f>
        <v>0</v>
      </c>
      <c r="C14" s="22">
        <f t="shared" ref="C14:K14" si="2">C15+C16+C21+C25+C32+C35</f>
        <v>0</v>
      </c>
      <c r="D14" s="22">
        <f t="shared" si="2"/>
        <v>0</v>
      </c>
      <c r="E14" s="22">
        <f t="shared" si="2"/>
        <v>0</v>
      </c>
      <c r="F14" s="22">
        <f t="shared" si="2"/>
        <v>-253776121.299999</v>
      </c>
      <c r="G14" s="21">
        <f t="shared" si="2"/>
        <v>0</v>
      </c>
      <c r="H14" s="21">
        <f t="shared" si="2"/>
        <v>0</v>
      </c>
      <c r="I14" s="21">
        <f t="shared" si="2"/>
        <v>-3939484.11</v>
      </c>
      <c r="J14" s="18">
        <f t="shared" si="2"/>
        <v>0</v>
      </c>
      <c r="K14" s="18">
        <f t="shared" si="2"/>
        <v>-442235418.58</v>
      </c>
      <c r="L14" s="18">
        <f t="shared" si="0"/>
        <v>-699951023.989999</v>
      </c>
      <c r="M14" s="22">
        <f>M15+M16+M21+M25+M32+M35</f>
        <v>469483794.320001</v>
      </c>
      <c r="N14" s="40">
        <f t="shared" ref="N14:N35" si="3">L14+M14</f>
        <v>-230467229.669999</v>
      </c>
    </row>
    <row r="15" ht="19.5" customHeight="1" spans="1:14">
      <c r="A15" s="25" t="s">
        <v>274</v>
      </c>
      <c r="B15" s="21"/>
      <c r="C15" s="21"/>
      <c r="D15" s="21"/>
      <c r="E15" s="21"/>
      <c r="F15" s="21"/>
      <c r="G15" s="21"/>
      <c r="H15" s="21"/>
      <c r="I15" s="21"/>
      <c r="J15" s="21"/>
      <c r="K15" s="21">
        <f>'合并利润表 '!C35</f>
        <v>-441758591.26</v>
      </c>
      <c r="L15" s="21">
        <f t="shared" si="0"/>
        <v>-441758591.26</v>
      </c>
      <c r="M15" s="21">
        <f>'合并利润表 '!C36</f>
        <v>-16002919.2</v>
      </c>
      <c r="N15" s="40">
        <f t="shared" si="3"/>
        <v>-457761510.46</v>
      </c>
    </row>
    <row r="16" ht="19.5" customHeight="1" spans="1:14">
      <c r="A16" s="25" t="s">
        <v>275</v>
      </c>
      <c r="B16" s="21">
        <f>B17+B18+B19+B20</f>
        <v>0</v>
      </c>
      <c r="C16" s="21">
        <f t="shared" ref="C16:M16" si="4">C17+C18+C19+C20</f>
        <v>0</v>
      </c>
      <c r="D16" s="21">
        <f t="shared" si="4"/>
        <v>0</v>
      </c>
      <c r="E16" s="21">
        <f t="shared" si="4"/>
        <v>0</v>
      </c>
      <c r="F16" s="21">
        <f t="shared" si="4"/>
        <v>-253776121.299999</v>
      </c>
      <c r="G16" s="21">
        <f t="shared" si="4"/>
        <v>0</v>
      </c>
      <c r="H16" s="21">
        <f t="shared" si="4"/>
        <v>0</v>
      </c>
      <c r="I16" s="21">
        <f t="shared" si="4"/>
        <v>0</v>
      </c>
      <c r="J16" s="21">
        <f t="shared" si="4"/>
        <v>0</v>
      </c>
      <c r="K16" s="21">
        <f t="shared" si="4"/>
        <v>0</v>
      </c>
      <c r="L16" s="21">
        <f t="shared" si="0"/>
        <v>-253776121.299999</v>
      </c>
      <c r="M16" s="21">
        <f t="shared" si="4"/>
        <v>485486713.520001</v>
      </c>
      <c r="N16" s="39">
        <f t="shared" si="3"/>
        <v>231710592.220001</v>
      </c>
    </row>
    <row r="17" ht="19.5" customHeight="1" spans="1:14">
      <c r="A17" s="25" t="s">
        <v>276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>
        <f t="shared" si="0"/>
        <v>0</v>
      </c>
      <c r="M17" s="21">
        <f>[1]所有者权益变动表!$M$18</f>
        <v>0</v>
      </c>
      <c r="N17" s="39">
        <f t="shared" si="3"/>
        <v>0</v>
      </c>
    </row>
    <row r="18" ht="19.5" customHeight="1" spans="1:14">
      <c r="A18" s="25" t="s">
        <v>277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>
        <f t="shared" si="0"/>
        <v>0</v>
      </c>
      <c r="M18" s="21"/>
      <c r="N18" s="39">
        <f t="shared" si="3"/>
        <v>0</v>
      </c>
    </row>
    <row r="19" ht="19.5" customHeight="1" spans="1:14">
      <c r="A19" s="25" t="s">
        <v>278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>
        <f t="shared" si="0"/>
        <v>0</v>
      </c>
      <c r="M19" s="21"/>
      <c r="N19" s="39">
        <f t="shared" si="3"/>
        <v>0</v>
      </c>
    </row>
    <row r="20" ht="19.5" customHeight="1" spans="1:14">
      <c r="A20" s="25" t="s">
        <v>279</v>
      </c>
      <c r="B20" s="21"/>
      <c r="C20" s="21"/>
      <c r="D20" s="21"/>
      <c r="E20" s="21"/>
      <c r="F20" s="21">
        <f>合并资产负债表!G41-合并资产负债表!H41</f>
        <v>-253776121.299999</v>
      </c>
      <c r="G20" s="21"/>
      <c r="H20" s="21">
        <f>合并资产负债表!G43-合并资产负债表!H43</f>
        <v>0</v>
      </c>
      <c r="I20" s="21"/>
      <c r="J20" s="21"/>
      <c r="K20" s="21"/>
      <c r="L20" s="21">
        <f t="shared" si="0"/>
        <v>-253776121.299999</v>
      </c>
      <c r="M20" s="21">
        <f>合并资产负债表!G48-合并资产负债表!H48-'合并所有者权益变动表 '!M15</f>
        <v>485486713.520001</v>
      </c>
      <c r="N20" s="39">
        <f t="shared" si="3"/>
        <v>231710592.220001</v>
      </c>
    </row>
    <row r="21" ht="19.5" customHeight="1" spans="1:14">
      <c r="A21" s="25" t="s">
        <v>280</v>
      </c>
      <c r="B21" s="21">
        <f>B22+B23+B24</f>
        <v>0</v>
      </c>
      <c r="C21" s="21">
        <f t="shared" ref="C21:M21" si="5">C22+C23+C24</f>
        <v>0</v>
      </c>
      <c r="D21" s="21">
        <f t="shared" si="5"/>
        <v>0</v>
      </c>
      <c r="E21" s="21">
        <f t="shared" si="5"/>
        <v>0</v>
      </c>
      <c r="F21" s="21">
        <f t="shared" si="5"/>
        <v>0</v>
      </c>
      <c r="G21" s="21">
        <f t="shared" si="5"/>
        <v>0</v>
      </c>
      <c r="H21" s="21">
        <f t="shared" si="5"/>
        <v>0</v>
      </c>
      <c r="I21" s="21">
        <f t="shared" si="5"/>
        <v>0</v>
      </c>
      <c r="J21" s="21">
        <f t="shared" si="5"/>
        <v>0</v>
      </c>
      <c r="K21" s="21">
        <f t="shared" si="5"/>
        <v>-476827.32</v>
      </c>
      <c r="L21" s="21">
        <f t="shared" si="0"/>
        <v>-476827.32</v>
      </c>
      <c r="M21" s="21">
        <f t="shared" si="5"/>
        <v>0</v>
      </c>
      <c r="N21" s="39">
        <f t="shared" si="3"/>
        <v>-476827.32</v>
      </c>
    </row>
    <row r="22" ht="19.1" customHeight="1" spans="1:14">
      <c r="A22" s="25" t="s">
        <v>281</v>
      </c>
      <c r="B22" s="21"/>
      <c r="C22" s="21"/>
      <c r="D22" s="21"/>
      <c r="E22" s="21"/>
      <c r="F22" s="21"/>
      <c r="G22" s="21"/>
      <c r="H22" s="21"/>
      <c r="I22" s="21"/>
      <c r="J22" s="21">
        <f>[1]所有者权益变动表!$J$23</f>
        <v>0</v>
      </c>
      <c r="K22" s="21">
        <f>0-J22</f>
        <v>0</v>
      </c>
      <c r="L22" s="21">
        <f t="shared" si="0"/>
        <v>0</v>
      </c>
      <c r="M22" s="21"/>
      <c r="N22" s="39">
        <f t="shared" si="3"/>
        <v>0</v>
      </c>
    </row>
    <row r="23" ht="19.5" customHeight="1" spans="1:14">
      <c r="A23" s="25" t="s">
        <v>282</v>
      </c>
      <c r="B23" s="21"/>
      <c r="C23" s="21"/>
      <c r="D23" s="21"/>
      <c r="E23" s="21"/>
      <c r="F23" s="21"/>
      <c r="G23" s="21"/>
      <c r="H23" s="21"/>
      <c r="I23" s="21"/>
      <c r="J23" s="21"/>
      <c r="K23" s="21">
        <f>-[4]TB表!$AF$267</f>
        <v>-476827.32</v>
      </c>
      <c r="L23" s="21">
        <f t="shared" si="0"/>
        <v>-476827.32</v>
      </c>
      <c r="M23" s="21"/>
      <c r="N23" s="39">
        <f t="shared" si="3"/>
        <v>-476827.32</v>
      </c>
    </row>
    <row r="24" ht="19.5" customHeight="1" spans="1:14">
      <c r="A24" s="25" t="s">
        <v>283</v>
      </c>
      <c r="B24" s="21"/>
      <c r="C24" s="21"/>
      <c r="D24" s="21"/>
      <c r="E24" s="21"/>
      <c r="F24" s="21"/>
      <c r="G24" s="21"/>
      <c r="H24" s="21"/>
      <c r="I24" s="21"/>
      <c r="J24" s="21"/>
      <c r="K24" s="21">
        <f>[1]所有者权益变动表!$L$26</f>
        <v>0</v>
      </c>
      <c r="L24" s="21">
        <f t="shared" si="0"/>
        <v>0</v>
      </c>
      <c r="M24" s="21"/>
      <c r="N24" s="39">
        <f t="shared" si="3"/>
        <v>0</v>
      </c>
    </row>
    <row r="25" ht="19.5" customHeight="1" spans="1:14">
      <c r="A25" s="25" t="s">
        <v>284</v>
      </c>
      <c r="B25" s="21">
        <f>SUM(B26:B31)</f>
        <v>0</v>
      </c>
      <c r="C25" s="21">
        <f>SUM(C26:C31)</f>
        <v>0</v>
      </c>
      <c r="D25" s="21">
        <f>SUM(D26:D31)</f>
        <v>0</v>
      </c>
      <c r="E25" s="21">
        <f t="shared" ref="E25:M25" si="6">SUM(E26:E31)</f>
        <v>0</v>
      </c>
      <c r="F25" s="21">
        <f t="shared" si="6"/>
        <v>0</v>
      </c>
      <c r="G25" s="21">
        <f t="shared" si="6"/>
        <v>0</v>
      </c>
      <c r="H25" s="21">
        <f t="shared" si="6"/>
        <v>0</v>
      </c>
      <c r="I25" s="21">
        <f t="shared" si="6"/>
        <v>0</v>
      </c>
      <c r="J25" s="21">
        <f t="shared" si="6"/>
        <v>0</v>
      </c>
      <c r="K25" s="21">
        <f t="shared" si="6"/>
        <v>0</v>
      </c>
      <c r="L25" s="21">
        <f t="shared" si="0"/>
        <v>0</v>
      </c>
      <c r="M25" s="21">
        <f t="shared" si="6"/>
        <v>0</v>
      </c>
      <c r="N25" s="39">
        <f t="shared" si="3"/>
        <v>0</v>
      </c>
    </row>
    <row r="26" ht="19.5" customHeight="1" spans="1:14">
      <c r="A26" s="25" t="s">
        <v>285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>
        <f t="shared" si="0"/>
        <v>0</v>
      </c>
      <c r="M26" s="21"/>
      <c r="N26" s="39">
        <f t="shared" si="3"/>
        <v>0</v>
      </c>
    </row>
    <row r="27" ht="19.5" customHeight="1" spans="1:14">
      <c r="A27" s="25" t="s">
        <v>286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>
        <f t="shared" si="0"/>
        <v>0</v>
      </c>
      <c r="M27" s="21"/>
      <c r="N27" s="39">
        <f t="shared" si="3"/>
        <v>0</v>
      </c>
    </row>
    <row r="28" ht="19.5" customHeight="1" spans="1:18">
      <c r="A28" s="25" t="s">
        <v>287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>
        <f t="shared" si="0"/>
        <v>0</v>
      </c>
      <c r="M28" s="21"/>
      <c r="N28" s="39">
        <f t="shared" si="3"/>
        <v>0</v>
      </c>
      <c r="Q28" s="161"/>
      <c r="R28" s="161"/>
    </row>
    <row r="29" ht="19.5" customHeight="1" spans="1:18">
      <c r="A29" s="19" t="s">
        <v>288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>
        <f t="shared" si="0"/>
        <v>0</v>
      </c>
      <c r="M29" s="21"/>
      <c r="N29" s="39">
        <f t="shared" si="3"/>
        <v>0</v>
      </c>
      <c r="Q29" s="161"/>
      <c r="R29" s="161"/>
    </row>
    <row r="30" ht="19.5" customHeight="1" spans="1:18">
      <c r="A30" s="19" t="s">
        <v>289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>
        <f t="shared" si="0"/>
        <v>0</v>
      </c>
      <c r="M30" s="21"/>
      <c r="N30" s="39">
        <f t="shared" si="3"/>
        <v>0</v>
      </c>
      <c r="Q30" s="161"/>
      <c r="R30" s="161"/>
    </row>
    <row r="31" ht="19.5" customHeight="1" spans="1:18">
      <c r="A31" s="19" t="s">
        <v>290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>
        <f t="shared" si="0"/>
        <v>0</v>
      </c>
      <c r="M31" s="21"/>
      <c r="N31" s="39">
        <f t="shared" si="3"/>
        <v>0</v>
      </c>
      <c r="Q31" s="161"/>
      <c r="R31" s="161"/>
    </row>
    <row r="32" ht="19.5" customHeight="1" spans="1:14">
      <c r="A32" s="25" t="s">
        <v>291</v>
      </c>
      <c r="B32" s="21">
        <f t="shared" ref="B32:M32" si="7">B33-B34</f>
        <v>0</v>
      </c>
      <c r="C32" s="21">
        <f t="shared" si="7"/>
        <v>0</v>
      </c>
      <c r="D32" s="21">
        <f t="shared" si="7"/>
        <v>0</v>
      </c>
      <c r="E32" s="21">
        <f t="shared" si="7"/>
        <v>0</v>
      </c>
      <c r="F32" s="21">
        <f t="shared" si="7"/>
        <v>0</v>
      </c>
      <c r="G32" s="21">
        <f t="shared" si="7"/>
        <v>0</v>
      </c>
      <c r="H32" s="21">
        <f t="shared" si="7"/>
        <v>0</v>
      </c>
      <c r="I32" s="21">
        <f t="shared" si="7"/>
        <v>-3939484.11</v>
      </c>
      <c r="J32" s="21">
        <f t="shared" si="7"/>
        <v>0</v>
      </c>
      <c r="K32" s="21">
        <f t="shared" si="7"/>
        <v>0</v>
      </c>
      <c r="L32" s="21">
        <f t="shared" si="0"/>
        <v>-3939484.11</v>
      </c>
      <c r="M32" s="21">
        <f t="shared" si="7"/>
        <v>0</v>
      </c>
      <c r="N32" s="39">
        <f t="shared" si="3"/>
        <v>-3939484.11</v>
      </c>
    </row>
    <row r="33" ht="19.5" customHeight="1" spans="1:14">
      <c r="A33" s="25" t="s">
        <v>292</v>
      </c>
      <c r="B33" s="21"/>
      <c r="C33" s="21"/>
      <c r="D33" s="21"/>
      <c r="E33" s="21"/>
      <c r="F33" s="21"/>
      <c r="G33" s="21"/>
      <c r="H33" s="21"/>
      <c r="I33" s="21">
        <f>合并资产负债表!G44-合并资产负债表!H44</f>
        <v>-3939484.11</v>
      </c>
      <c r="J33" s="21"/>
      <c r="K33" s="21"/>
      <c r="L33" s="21">
        <f t="shared" si="0"/>
        <v>-3939484.11</v>
      </c>
      <c r="M33" s="21"/>
      <c r="N33" s="39">
        <f t="shared" si="3"/>
        <v>-3939484.11</v>
      </c>
    </row>
    <row r="34" ht="19.5" customHeight="1" spans="1:14">
      <c r="A34" s="25" t="s">
        <v>293</v>
      </c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>
        <f t="shared" si="0"/>
        <v>0</v>
      </c>
      <c r="M34" s="21"/>
      <c r="N34" s="39">
        <f t="shared" si="3"/>
        <v>0</v>
      </c>
    </row>
    <row r="35" ht="19.5" customHeight="1" spans="1:14">
      <c r="A35" s="25" t="s">
        <v>294</v>
      </c>
      <c r="B35" s="20"/>
      <c r="C35" s="21"/>
      <c r="D35" s="21"/>
      <c r="E35" s="21"/>
      <c r="F35" s="21"/>
      <c r="G35" s="21"/>
      <c r="H35" s="21"/>
      <c r="I35" s="21"/>
      <c r="J35" s="20"/>
      <c r="K35" s="20"/>
      <c r="L35" s="21">
        <f t="shared" si="0"/>
        <v>0</v>
      </c>
      <c r="M35" s="21"/>
      <c r="N35" s="39">
        <f t="shared" si="3"/>
        <v>0</v>
      </c>
    </row>
    <row r="36" ht="19.5" customHeight="1" spans="1:14">
      <c r="A36" s="173" t="s">
        <v>295</v>
      </c>
      <c r="B36" s="28">
        <f t="shared" ref="B36:N36" si="8">B13+B14</f>
        <v>1500000000</v>
      </c>
      <c r="C36" s="29">
        <f t="shared" si="8"/>
        <v>0</v>
      </c>
      <c r="D36" s="29">
        <f t="shared" si="8"/>
        <v>0</v>
      </c>
      <c r="E36" s="29">
        <f t="shared" si="8"/>
        <v>0</v>
      </c>
      <c r="F36" s="28">
        <f t="shared" si="8"/>
        <v>20805292132.16</v>
      </c>
      <c r="G36" s="29">
        <f t="shared" si="8"/>
        <v>0</v>
      </c>
      <c r="H36" s="29">
        <f t="shared" si="8"/>
        <v>390962134.89</v>
      </c>
      <c r="I36" s="29">
        <f t="shared" si="8"/>
        <v>2201853.4</v>
      </c>
      <c r="J36" s="28">
        <f t="shared" si="8"/>
        <v>70332998.57</v>
      </c>
      <c r="K36" s="28">
        <f t="shared" si="8"/>
        <v>2097693078.04</v>
      </c>
      <c r="L36" s="28">
        <f t="shared" si="8"/>
        <v>24866482197.06</v>
      </c>
      <c r="M36" s="29">
        <f t="shared" si="8"/>
        <v>5543389809.43</v>
      </c>
      <c r="N36" s="185">
        <f t="shared" si="8"/>
        <v>30409872006.49</v>
      </c>
    </row>
    <row r="37" s="2" customFormat="1" ht="18.75" customHeight="1" spans="1:14">
      <c r="A37" s="174" t="s">
        <v>296</v>
      </c>
      <c r="B37" s="175"/>
      <c r="C37" s="175"/>
      <c r="D37" s="175"/>
      <c r="E37" s="175"/>
      <c r="F37" s="175"/>
      <c r="G37" s="175" t="s">
        <v>297</v>
      </c>
      <c r="H37" s="175"/>
      <c r="I37" s="175"/>
      <c r="J37" s="175"/>
      <c r="K37" s="175"/>
      <c r="L37" s="175"/>
      <c r="M37" s="175" t="s">
        <v>247</v>
      </c>
      <c r="N37" s="4"/>
    </row>
    <row r="38" ht="26.6" customHeight="1" spans="1:14">
      <c r="A38" s="163" t="s">
        <v>250</v>
      </c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</row>
    <row r="39" ht="20.25" customHeight="1" spans="1:14">
      <c r="A39" s="164" t="str">
        <f>A2</f>
        <v> 2025年1-6月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</row>
    <row r="40" ht="18.75" customHeight="1" spans="1:14">
      <c r="A40" s="176" t="str">
        <f>A3</f>
        <v>编制单位：平阳县国诚控股有限公司</v>
      </c>
      <c r="F40" s="165"/>
      <c r="G40" s="8"/>
      <c r="H40" s="8"/>
      <c r="M40" s="177"/>
      <c r="N40" s="178" t="s">
        <v>251</v>
      </c>
    </row>
    <row r="41" ht="18.75" customHeight="1" spans="1:14">
      <c r="A41" s="166" t="s">
        <v>252</v>
      </c>
      <c r="B41" s="168" t="s">
        <v>6</v>
      </c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79"/>
    </row>
    <row r="42" ht="18.75" customHeight="1" spans="1:14">
      <c r="A42" s="169"/>
      <c r="B42" s="170" t="s">
        <v>253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80"/>
      <c r="M42" s="14" t="s">
        <v>254</v>
      </c>
      <c r="N42" s="181" t="s">
        <v>126</v>
      </c>
    </row>
    <row r="43" ht="18.75" customHeight="1" spans="1:14">
      <c r="A43" s="169"/>
      <c r="B43" s="14" t="s">
        <v>255</v>
      </c>
      <c r="C43" s="14" t="s">
        <v>256</v>
      </c>
      <c r="D43" s="14"/>
      <c r="E43" s="14"/>
      <c r="F43" s="14" t="s">
        <v>257</v>
      </c>
      <c r="G43" s="14" t="s">
        <v>258</v>
      </c>
      <c r="H43" s="14" t="s">
        <v>259</v>
      </c>
      <c r="I43" s="14" t="s">
        <v>260</v>
      </c>
      <c r="J43" s="14" t="s">
        <v>261</v>
      </c>
      <c r="K43" s="14" t="s">
        <v>262</v>
      </c>
      <c r="L43" s="182" t="s">
        <v>263</v>
      </c>
      <c r="M43" s="14"/>
      <c r="N43" s="181"/>
    </row>
    <row r="44" ht="18.75" customHeight="1" spans="1:14">
      <c r="A44" s="169"/>
      <c r="B44" s="14"/>
      <c r="C44" s="14" t="s">
        <v>264</v>
      </c>
      <c r="D44" s="14" t="s">
        <v>265</v>
      </c>
      <c r="E44" s="14" t="s">
        <v>266</v>
      </c>
      <c r="F44" s="14"/>
      <c r="G44" s="14"/>
      <c r="H44" s="14"/>
      <c r="I44" s="14"/>
      <c r="J44" s="14"/>
      <c r="K44" s="14"/>
      <c r="L44" s="183"/>
      <c r="M44" s="14"/>
      <c r="N44" s="181"/>
    </row>
    <row r="45" ht="18.75" customHeight="1" spans="1:16">
      <c r="A45" s="172" t="s">
        <v>267</v>
      </c>
      <c r="B45" s="18">
        <f>'[7]合并所有者权益变动表 '!B8</f>
        <v>1500000000</v>
      </c>
      <c r="C45" s="18">
        <f>'[7]合并所有者权益变动表 '!C8</f>
        <v>0</v>
      </c>
      <c r="D45" s="18">
        <f>'[7]合并所有者权益变动表 '!D8</f>
        <v>0</v>
      </c>
      <c r="E45" s="18">
        <f>'[7]合并所有者权益变动表 '!E8</f>
        <v>0</v>
      </c>
      <c r="F45" s="18">
        <f>'[7]合并所有者权益变动表 '!F8</f>
        <v>23194191732.48</v>
      </c>
      <c r="G45" s="18">
        <f>'[7]合并所有者权益变动表 '!G8</f>
        <v>0</v>
      </c>
      <c r="H45" s="18">
        <f>'[7]合并所有者权益变动表 '!H8</f>
        <v>383347120.14</v>
      </c>
      <c r="I45" s="18">
        <f>'[7]合并所有者权益变动表 '!I8</f>
        <v>1869008.31</v>
      </c>
      <c r="J45" s="18">
        <f>'[7]合并所有者权益变动表 '!J8</f>
        <v>70332998.57</v>
      </c>
      <c r="K45" s="18">
        <f>'[7]合并所有者权益变动表 '!K8</f>
        <v>2519948312.24</v>
      </c>
      <c r="L45" s="18">
        <f>'[7]合并所有者权益变动表 '!L8</f>
        <v>27669689171.74</v>
      </c>
      <c r="M45" s="18">
        <f>'[7]合并所有者权益变动表 '!M8</f>
        <v>4774924549.93</v>
      </c>
      <c r="N45" s="40">
        <f>'[7]合并所有者权益变动表 '!N8</f>
        <v>32444613721.67</v>
      </c>
      <c r="O45" s="186"/>
      <c r="P45" s="162">
        <v>32432625165.98</v>
      </c>
    </row>
    <row r="46" ht="18.75" customHeight="1" spans="1:15">
      <c r="A46" s="25" t="s">
        <v>268</v>
      </c>
      <c r="B46" s="20">
        <f>'[7]合并所有者权益变动表 '!B9</f>
        <v>0</v>
      </c>
      <c r="C46" s="20">
        <f>'[7]合并所有者权益变动表 '!C9</f>
        <v>0</v>
      </c>
      <c r="D46" s="20">
        <f>'[7]合并所有者权益变动表 '!D9</f>
        <v>0</v>
      </c>
      <c r="E46" s="20">
        <f>'[7]合并所有者权益变动表 '!E9</f>
        <v>0</v>
      </c>
      <c r="F46" s="20">
        <f>'[7]合并所有者权益变动表 '!F9</f>
        <v>0</v>
      </c>
      <c r="G46" s="20">
        <f>'[7]合并所有者权益变动表 '!G9</f>
        <v>0</v>
      </c>
      <c r="H46" s="20">
        <f>'[7]合并所有者权益变动表 '!H9</f>
        <v>0</v>
      </c>
      <c r="I46" s="20">
        <f>'[7]合并所有者权益变动表 '!I9</f>
        <v>0</v>
      </c>
      <c r="J46" s="20">
        <f>'[7]合并所有者权益变动表 '!J9</f>
        <v>0</v>
      </c>
      <c r="K46" s="20">
        <f>'[7]合并所有者权益变动表 '!K9</f>
        <v>0</v>
      </c>
      <c r="L46" s="23">
        <f>'[7]合并所有者权益变动表 '!L9</f>
        <v>0</v>
      </c>
      <c r="M46" s="24">
        <f>'[7]合并所有者权益变动表 '!M9</f>
        <v>0</v>
      </c>
      <c r="N46" s="40">
        <f>'[7]合并所有者权益变动表 '!N9</f>
        <v>0</v>
      </c>
      <c r="O46" s="186"/>
    </row>
    <row r="47" ht="18.75" customHeight="1" spans="1:15">
      <c r="A47" s="25" t="s">
        <v>269</v>
      </c>
      <c r="B47" s="20">
        <f>'[7]合并所有者权益变动表 '!B10</f>
        <v>0</v>
      </c>
      <c r="C47" s="20">
        <f>'[7]合并所有者权益变动表 '!C10</f>
        <v>0</v>
      </c>
      <c r="D47" s="20">
        <f>'[7]合并所有者权益变动表 '!D10</f>
        <v>0</v>
      </c>
      <c r="E47" s="20">
        <f>'[7]合并所有者权益变动表 '!E10</f>
        <v>0</v>
      </c>
      <c r="F47" s="20">
        <f>'[7]合并所有者权益变动表 '!F10</f>
        <v>0</v>
      </c>
      <c r="G47" s="20">
        <f>'[7]合并所有者权益变动表 '!G10</f>
        <v>0</v>
      </c>
      <c r="H47" s="20">
        <f>'[7]合并所有者权益变动表 '!H10</f>
        <v>0</v>
      </c>
      <c r="I47" s="20">
        <f>'[7]合并所有者权益变动表 '!I10</f>
        <v>0</v>
      </c>
      <c r="J47" s="20">
        <f>'[7]合并所有者权益变动表 '!J10</f>
        <v>0</v>
      </c>
      <c r="K47" s="20">
        <f>'[7]合并所有者权益变动表 '!K10</f>
        <v>0</v>
      </c>
      <c r="L47" s="23">
        <f>'[7]合并所有者权益变动表 '!L10</f>
        <v>0</v>
      </c>
      <c r="M47" s="24">
        <f>'[7]合并所有者权益变动表 '!M10</f>
        <v>0</v>
      </c>
      <c r="N47" s="40">
        <f>'[7]合并所有者权益变动表 '!N10</f>
        <v>0</v>
      </c>
      <c r="O47" s="186"/>
    </row>
    <row r="48" ht="18.75" customHeight="1" spans="1:15">
      <c r="A48" s="25" t="s">
        <v>270</v>
      </c>
      <c r="B48" s="20">
        <f>'[7]合并所有者权益变动表 '!B11</f>
        <v>0</v>
      </c>
      <c r="C48" s="24">
        <f>'[7]合并所有者权益变动表 '!C11</f>
        <v>0</v>
      </c>
      <c r="D48" s="24">
        <f>'[7]合并所有者权益变动表 '!D11</f>
        <v>0</v>
      </c>
      <c r="E48" s="24">
        <f>'[7]合并所有者权益变动表 '!E11</f>
        <v>0</v>
      </c>
      <c r="F48" s="20">
        <f>'[7]合并所有者权益变动表 '!F11</f>
        <v>0</v>
      </c>
      <c r="G48" s="20">
        <f>'[7]合并所有者权益变动表 '!G11</f>
        <v>0</v>
      </c>
      <c r="H48" s="20">
        <f>'[7]合并所有者权益变动表 '!H11</f>
        <v>0</v>
      </c>
      <c r="I48" s="20">
        <f>'[7]合并所有者权益变动表 '!I11</f>
        <v>0</v>
      </c>
      <c r="J48" s="20">
        <f>'[7]合并所有者权益变动表 '!J11</f>
        <v>0</v>
      </c>
      <c r="K48" s="20">
        <f>'[7]合并所有者权益变动表 '!K11</f>
        <v>0</v>
      </c>
      <c r="L48" s="23">
        <f>'[7]合并所有者权益变动表 '!L11</f>
        <v>0</v>
      </c>
      <c r="M48" s="24">
        <f>'[7]合并所有者权益变动表 '!M11</f>
        <v>0</v>
      </c>
      <c r="N48" s="40">
        <f>'[7]合并所有者权益变动表 '!N11</f>
        <v>0</v>
      </c>
      <c r="O48" s="186"/>
    </row>
    <row r="49" ht="18.75" customHeight="1" spans="1:15">
      <c r="A49" s="25" t="s">
        <v>271</v>
      </c>
      <c r="B49" s="20">
        <f>'[7]合并所有者权益变动表 '!B12</f>
        <v>0</v>
      </c>
      <c r="C49" s="24">
        <f>'[7]合并所有者权益变动表 '!C12</f>
        <v>0</v>
      </c>
      <c r="D49" s="24">
        <f>'[7]合并所有者权益变动表 '!D12</f>
        <v>0</v>
      </c>
      <c r="E49" s="24">
        <f>'[7]合并所有者权益变动表 '!E12</f>
        <v>0</v>
      </c>
      <c r="F49" s="20">
        <f>'[7]合并所有者权益变动表 '!F12</f>
        <v>0</v>
      </c>
      <c r="G49" s="24">
        <f>'[7]合并所有者权益变动表 '!G12</f>
        <v>0</v>
      </c>
      <c r="H49" s="24">
        <f>'[7]合并所有者权益变动表 '!H12</f>
        <v>0</v>
      </c>
      <c r="I49" s="24">
        <f>'[7]合并所有者权益变动表 '!I12</f>
        <v>0</v>
      </c>
      <c r="J49" s="20">
        <f>'[7]合并所有者权益变动表 '!J12</f>
        <v>0</v>
      </c>
      <c r="K49" s="20">
        <f>'[7]合并所有者权益变动表 '!K12</f>
        <v>0</v>
      </c>
      <c r="L49" s="23">
        <f>'[7]合并所有者权益变动表 '!L12</f>
        <v>0</v>
      </c>
      <c r="M49" s="24">
        <f>'[7]合并所有者权益变动表 '!M12</f>
        <v>0</v>
      </c>
      <c r="N49" s="40">
        <f>'[7]合并所有者权益变动表 '!N12</f>
        <v>0</v>
      </c>
      <c r="O49" s="186"/>
    </row>
    <row r="50" ht="18.75" customHeight="1" spans="1:15">
      <c r="A50" s="172" t="s">
        <v>272</v>
      </c>
      <c r="B50" s="18">
        <f>'[7]合并所有者权益变动表 '!B13</f>
        <v>1500000000</v>
      </c>
      <c r="C50" s="23">
        <f>'[7]合并所有者权益变动表 '!C13</f>
        <v>0</v>
      </c>
      <c r="D50" s="23">
        <f>'[7]合并所有者权益变动表 '!D13</f>
        <v>0</v>
      </c>
      <c r="E50" s="23">
        <f>'[7]合并所有者权益变动表 '!E13</f>
        <v>0</v>
      </c>
      <c r="F50" s="18">
        <f>'[7]合并所有者权益变动表 '!F13</f>
        <v>23194191732.48</v>
      </c>
      <c r="G50" s="23">
        <f>'[7]合并所有者权益变动表 '!G13</f>
        <v>0</v>
      </c>
      <c r="H50" s="18">
        <f>'[7]合并所有者权益变动表 '!H13</f>
        <v>383347120.14</v>
      </c>
      <c r="I50" s="23">
        <f>'[7]合并所有者权益变动表 '!I13</f>
        <v>1869008.31</v>
      </c>
      <c r="J50" s="18">
        <f>'[7]合并所有者权益变动表 '!J13</f>
        <v>70332998.57</v>
      </c>
      <c r="K50" s="18">
        <f>'[7]合并所有者权益变动表 '!K13</f>
        <v>2519948312.24</v>
      </c>
      <c r="L50" s="18">
        <f>'[7]合并所有者权益变动表 '!L13</f>
        <v>27669689171.74</v>
      </c>
      <c r="M50" s="18">
        <f>'[7]合并所有者权益变动表 '!M13</f>
        <v>4774924549.93</v>
      </c>
      <c r="N50" s="40">
        <f>'[7]合并所有者权益变动表 '!N13</f>
        <v>32444613721.67</v>
      </c>
      <c r="O50" s="186"/>
    </row>
    <row r="51" ht="21.45" customHeight="1" spans="1:15">
      <c r="A51" s="172" t="s">
        <v>273</v>
      </c>
      <c r="B51" s="18">
        <f>'[7]合并所有者权益变动表 '!B14</f>
        <v>0</v>
      </c>
      <c r="C51" s="18">
        <f>'[7]合并所有者权益变动表 '!C14</f>
        <v>0</v>
      </c>
      <c r="D51" s="18">
        <f>'[7]合并所有者权益变动表 '!D14</f>
        <v>0</v>
      </c>
      <c r="E51" s="18">
        <f>'[7]合并所有者权益变动表 '!E14</f>
        <v>0</v>
      </c>
      <c r="F51" s="18">
        <f>'[7]合并所有者权益变动表 '!F14</f>
        <v>-296473836.369999</v>
      </c>
      <c r="G51" s="18">
        <f>'[7]合并所有者权益变动表 '!G14</f>
        <v>0</v>
      </c>
      <c r="H51" s="18">
        <f>'[7]合并所有者权益变动表 '!H14</f>
        <v>7615014.75</v>
      </c>
      <c r="I51" s="18">
        <f>'[7]合并所有者权益变动表 '!I14</f>
        <v>1601724.2</v>
      </c>
      <c r="J51" s="18">
        <f>'[7]合并所有者权益变动表 '!J14</f>
        <v>0</v>
      </c>
      <c r="K51" s="18">
        <f>'[7]合并所有者权益变动表 '!K14</f>
        <v>-30312430.11</v>
      </c>
      <c r="L51" s="18">
        <f>'[7]合并所有者权益变动表 '!L14</f>
        <v>-317569527.529999</v>
      </c>
      <c r="M51" s="18">
        <f>'[7]合并所有者权益变动表 '!M14</f>
        <v>166225523.78</v>
      </c>
      <c r="N51" s="40">
        <f>'[7]合并所有者权益变动表 '!N14</f>
        <v>-151344003.749999</v>
      </c>
      <c r="O51" s="186"/>
    </row>
    <row r="52" ht="18.75" customHeight="1" spans="1:15">
      <c r="A52" s="25" t="s">
        <v>274</v>
      </c>
      <c r="B52" s="21">
        <f>'[7]合并所有者权益变动表 '!B15</f>
        <v>0</v>
      </c>
      <c r="C52" s="21">
        <f>'[7]合并所有者权益变动表 '!C15</f>
        <v>0</v>
      </c>
      <c r="D52" s="21">
        <f>'[7]合并所有者权益变动表 '!D15</f>
        <v>0</v>
      </c>
      <c r="E52" s="21">
        <f>'[7]合并所有者权益变动表 '!E15</f>
        <v>0</v>
      </c>
      <c r="F52" s="21">
        <f>'[7]合并所有者权益变动表 '!F15</f>
        <v>0</v>
      </c>
      <c r="G52" s="21">
        <f>'[7]合并所有者权益变动表 '!G15</f>
        <v>0</v>
      </c>
      <c r="H52" s="21">
        <f>'[7]合并所有者权益变动表 '!H15</f>
        <v>0</v>
      </c>
      <c r="I52" s="21">
        <f>'[7]合并所有者权益变动表 '!I15</f>
        <v>0</v>
      </c>
      <c r="J52" s="21">
        <f>'[7]合并所有者权益变动表 '!J15</f>
        <v>0</v>
      </c>
      <c r="K52" s="21">
        <f>'[7]合并所有者权益变动表 '!K15</f>
        <v>-30312430.11</v>
      </c>
      <c r="L52" s="21">
        <f>'[7]合并所有者权益变动表 '!L15</f>
        <v>-30312430.11</v>
      </c>
      <c r="M52" s="21">
        <f>'[7]合并所有者权益变动表 '!M15</f>
        <v>-19267695.22</v>
      </c>
      <c r="N52" s="40">
        <f>'[7]合并所有者权益变动表 '!N15</f>
        <v>-49580125.33</v>
      </c>
      <c r="O52" s="186"/>
    </row>
    <row r="53" ht="18.75" customHeight="1" spans="1:15">
      <c r="A53" s="25" t="s">
        <v>275</v>
      </c>
      <c r="B53" s="21">
        <f>'[7]合并所有者权益变动表 '!B16</f>
        <v>0</v>
      </c>
      <c r="C53" s="21">
        <f>'[7]合并所有者权益变动表 '!C16</f>
        <v>0</v>
      </c>
      <c r="D53" s="21">
        <f>'[7]合并所有者权益变动表 '!D16</f>
        <v>0</v>
      </c>
      <c r="E53" s="21">
        <f>'[7]合并所有者权益变动表 '!E16</f>
        <v>0</v>
      </c>
      <c r="F53" s="21">
        <f>'[7]合并所有者权益变动表 '!F16</f>
        <v>-296473836.369999</v>
      </c>
      <c r="G53" s="21">
        <f>'[7]合并所有者权益变动表 '!G16</f>
        <v>0</v>
      </c>
      <c r="H53" s="21">
        <f>'[7]合并所有者权益变动表 '!H16</f>
        <v>7615014.75</v>
      </c>
      <c r="I53" s="21">
        <f>'[7]合并所有者权益变动表 '!I16</f>
        <v>0</v>
      </c>
      <c r="J53" s="21">
        <f>'[7]合并所有者权益变动表 '!J16</f>
        <v>0</v>
      </c>
      <c r="K53" s="21">
        <f>'[7]合并所有者权益变动表 '!K16</f>
        <v>0</v>
      </c>
      <c r="L53" s="21">
        <f>'[7]合并所有者权益变动表 '!L16</f>
        <v>-288858821.619999</v>
      </c>
      <c r="M53" s="21">
        <f>'[7]合并所有者权益变动表 '!M16</f>
        <v>185493219</v>
      </c>
      <c r="N53" s="40">
        <f>'[7]合并所有者权益变动表 '!N16</f>
        <v>-103365602.619999</v>
      </c>
      <c r="O53" s="186"/>
    </row>
    <row r="54" ht="20.25" customHeight="1" spans="1:15">
      <c r="A54" s="25" t="s">
        <v>276</v>
      </c>
      <c r="B54" s="21">
        <f>'[7]合并所有者权益变动表 '!B17</f>
        <v>0</v>
      </c>
      <c r="C54" s="21">
        <f>'[7]合并所有者权益变动表 '!C17</f>
        <v>0</v>
      </c>
      <c r="D54" s="21">
        <f>'[7]合并所有者权益变动表 '!D17</f>
        <v>0</v>
      </c>
      <c r="E54" s="21">
        <f>'[7]合并所有者权益变动表 '!E17</f>
        <v>0</v>
      </c>
      <c r="F54" s="21">
        <f>'[7]合并所有者权益变动表 '!F17</f>
        <v>0</v>
      </c>
      <c r="G54" s="21">
        <f>'[7]合并所有者权益变动表 '!G17</f>
        <v>0</v>
      </c>
      <c r="H54" s="21">
        <f>'[7]合并所有者权益变动表 '!H17</f>
        <v>0</v>
      </c>
      <c r="I54" s="21">
        <f>'[7]合并所有者权益变动表 '!I17</f>
        <v>0</v>
      </c>
      <c r="J54" s="21">
        <f>'[7]合并所有者权益变动表 '!J17</f>
        <v>0</v>
      </c>
      <c r="K54" s="21">
        <f>'[7]合并所有者权益变动表 '!K17</f>
        <v>0</v>
      </c>
      <c r="L54" s="21">
        <f>'[7]合并所有者权益变动表 '!L17</f>
        <v>0</v>
      </c>
      <c r="M54" s="21">
        <f>'[7]合并所有者权益变动表 '!M17</f>
        <v>0</v>
      </c>
      <c r="N54" s="40">
        <f>'[7]合并所有者权益变动表 '!N17</f>
        <v>0</v>
      </c>
      <c r="O54" s="186"/>
    </row>
    <row r="55" ht="20.25" customHeight="1" spans="1:15">
      <c r="A55" s="25" t="s">
        <v>277</v>
      </c>
      <c r="B55" s="21">
        <f>'[7]合并所有者权益变动表 '!B18</f>
        <v>0</v>
      </c>
      <c r="C55" s="21">
        <f>'[7]合并所有者权益变动表 '!C18</f>
        <v>0</v>
      </c>
      <c r="D55" s="21">
        <f>'[7]合并所有者权益变动表 '!D18</f>
        <v>0</v>
      </c>
      <c r="E55" s="21">
        <f>'[7]合并所有者权益变动表 '!E18</f>
        <v>0</v>
      </c>
      <c r="F55" s="21">
        <f>'[7]合并所有者权益变动表 '!F18</f>
        <v>0</v>
      </c>
      <c r="G55" s="21">
        <f>'[7]合并所有者权益变动表 '!G18</f>
        <v>0</v>
      </c>
      <c r="H55" s="21">
        <f>'[7]合并所有者权益变动表 '!H18</f>
        <v>0</v>
      </c>
      <c r="I55" s="21">
        <f>'[7]合并所有者权益变动表 '!I18</f>
        <v>0</v>
      </c>
      <c r="J55" s="21">
        <f>'[7]合并所有者权益变动表 '!J18</f>
        <v>0</v>
      </c>
      <c r="K55" s="21">
        <f>'[7]合并所有者权益变动表 '!K18</f>
        <v>0</v>
      </c>
      <c r="L55" s="21">
        <f>'[7]合并所有者权益变动表 '!L18</f>
        <v>0</v>
      </c>
      <c r="M55" s="21">
        <f>'[7]合并所有者权益变动表 '!M18</f>
        <v>0</v>
      </c>
      <c r="N55" s="40">
        <f>'[7]合并所有者权益变动表 '!N18</f>
        <v>0</v>
      </c>
      <c r="O55" s="186"/>
    </row>
    <row r="56" ht="20.25" customHeight="1" spans="1:15">
      <c r="A56" s="25" t="s">
        <v>278</v>
      </c>
      <c r="B56" s="21">
        <f>'[7]合并所有者权益变动表 '!B19</f>
        <v>0</v>
      </c>
      <c r="C56" s="21">
        <f>'[7]合并所有者权益变动表 '!C19</f>
        <v>0</v>
      </c>
      <c r="D56" s="21">
        <f>'[7]合并所有者权益变动表 '!D19</f>
        <v>0</v>
      </c>
      <c r="E56" s="21">
        <f>'[7]合并所有者权益变动表 '!E19</f>
        <v>0</v>
      </c>
      <c r="F56" s="21">
        <f>'[7]合并所有者权益变动表 '!F19</f>
        <v>0</v>
      </c>
      <c r="G56" s="21">
        <f>'[7]合并所有者权益变动表 '!G19</f>
        <v>0</v>
      </c>
      <c r="H56" s="21">
        <f>'[7]合并所有者权益变动表 '!H19</f>
        <v>0</v>
      </c>
      <c r="I56" s="21">
        <f>'[7]合并所有者权益变动表 '!I19</f>
        <v>0</v>
      </c>
      <c r="J56" s="21">
        <f>'[7]合并所有者权益变动表 '!J19</f>
        <v>0</v>
      </c>
      <c r="K56" s="21">
        <f>'[7]合并所有者权益变动表 '!K19</f>
        <v>0</v>
      </c>
      <c r="L56" s="21">
        <f>'[7]合并所有者权益变动表 '!L19</f>
        <v>0</v>
      </c>
      <c r="M56" s="21">
        <f>'[7]合并所有者权益变动表 '!M19</f>
        <v>0</v>
      </c>
      <c r="N56" s="40">
        <f>'[7]合并所有者权益变动表 '!N19</f>
        <v>0</v>
      </c>
      <c r="O56" s="186"/>
    </row>
    <row r="57" ht="20.25" customHeight="1" spans="1:15">
      <c r="A57" s="25" t="s">
        <v>279</v>
      </c>
      <c r="B57" s="21">
        <f>'[7]合并所有者权益变动表 '!B20</f>
        <v>0</v>
      </c>
      <c r="C57" s="21">
        <f>'[7]合并所有者权益变动表 '!C20</f>
        <v>0</v>
      </c>
      <c r="D57" s="21">
        <f>'[7]合并所有者权益变动表 '!D20</f>
        <v>0</v>
      </c>
      <c r="E57" s="21">
        <f>'[7]合并所有者权益变动表 '!E20</f>
        <v>0</v>
      </c>
      <c r="F57" s="21">
        <f>'[7]合并所有者权益变动表 '!F20</f>
        <v>-296473836.369999</v>
      </c>
      <c r="G57" s="21">
        <f>'[7]合并所有者权益变动表 '!G20</f>
        <v>0</v>
      </c>
      <c r="H57" s="21">
        <f>'[7]合并所有者权益变动表 '!H20</f>
        <v>7615014.75</v>
      </c>
      <c r="I57" s="21">
        <f>'[7]合并所有者权益变动表 '!I20</f>
        <v>0</v>
      </c>
      <c r="J57" s="21">
        <f>'[7]合并所有者权益变动表 '!J20</f>
        <v>0</v>
      </c>
      <c r="K57" s="21">
        <f>'[7]合并所有者权益变动表 '!K20</f>
        <v>0</v>
      </c>
      <c r="L57" s="21">
        <f>'[7]合并所有者权益变动表 '!L20</f>
        <v>-288858821.619999</v>
      </c>
      <c r="M57" s="21">
        <f>'[7]合并所有者权益变动表 '!M20</f>
        <v>185493219</v>
      </c>
      <c r="N57" s="40">
        <f>'[7]合并所有者权益变动表 '!N20</f>
        <v>-103365602.619999</v>
      </c>
      <c r="O57" s="186"/>
    </row>
    <row r="58" ht="20.25" customHeight="1" spans="1:15">
      <c r="A58" s="25" t="s">
        <v>280</v>
      </c>
      <c r="B58" s="21">
        <f>'[7]合并所有者权益变动表 '!B21</f>
        <v>0</v>
      </c>
      <c r="C58" s="21">
        <f>'[7]合并所有者权益变动表 '!C21</f>
        <v>0</v>
      </c>
      <c r="D58" s="21">
        <f>'[7]合并所有者权益变动表 '!D21</f>
        <v>0</v>
      </c>
      <c r="E58" s="21">
        <f>'[7]合并所有者权益变动表 '!E21</f>
        <v>0</v>
      </c>
      <c r="F58" s="21">
        <f>'[7]合并所有者权益变动表 '!F21</f>
        <v>0</v>
      </c>
      <c r="G58" s="21">
        <f>'[7]合并所有者权益变动表 '!G21</f>
        <v>0</v>
      </c>
      <c r="H58" s="21">
        <f>'[7]合并所有者权益变动表 '!H21</f>
        <v>0</v>
      </c>
      <c r="I58" s="21">
        <f>'[7]合并所有者权益变动表 '!I21</f>
        <v>0</v>
      </c>
      <c r="J58" s="21">
        <f>'[7]合并所有者权益变动表 '!J21</f>
        <v>0</v>
      </c>
      <c r="K58" s="21">
        <f>'[7]合并所有者权益变动表 '!K21</f>
        <v>0</v>
      </c>
      <c r="L58" s="21">
        <f>'[7]合并所有者权益变动表 '!L21</f>
        <v>0</v>
      </c>
      <c r="M58" s="21">
        <f>'[7]合并所有者权益变动表 '!M21</f>
        <v>0</v>
      </c>
      <c r="N58" s="40">
        <f>'[7]合并所有者权益变动表 '!N21</f>
        <v>0</v>
      </c>
      <c r="O58" s="186"/>
    </row>
    <row r="59" ht="20.25" customHeight="1" spans="1:15">
      <c r="A59" s="25" t="s">
        <v>281</v>
      </c>
      <c r="B59" s="21">
        <f>'[7]合并所有者权益变动表 '!B22</f>
        <v>0</v>
      </c>
      <c r="C59" s="21">
        <f>'[7]合并所有者权益变动表 '!C22</f>
        <v>0</v>
      </c>
      <c r="D59" s="21">
        <f>'[7]合并所有者权益变动表 '!D22</f>
        <v>0</v>
      </c>
      <c r="E59" s="21">
        <f>'[7]合并所有者权益变动表 '!E22</f>
        <v>0</v>
      </c>
      <c r="F59" s="21">
        <f>'[7]合并所有者权益变动表 '!F22</f>
        <v>0</v>
      </c>
      <c r="G59" s="21">
        <f>'[7]合并所有者权益变动表 '!G22</f>
        <v>0</v>
      </c>
      <c r="H59" s="21">
        <f>'[7]合并所有者权益变动表 '!H22</f>
        <v>0</v>
      </c>
      <c r="I59" s="21">
        <f>'[7]合并所有者权益变动表 '!I22</f>
        <v>0</v>
      </c>
      <c r="J59" s="21">
        <f>'[7]合并所有者权益变动表 '!J22</f>
        <v>0</v>
      </c>
      <c r="K59" s="21">
        <f>'[7]合并所有者权益变动表 '!K22</f>
        <v>0</v>
      </c>
      <c r="L59" s="21">
        <f>'[7]合并所有者权益变动表 '!L22</f>
        <v>0</v>
      </c>
      <c r="M59" s="21">
        <f>'[7]合并所有者权益变动表 '!M22</f>
        <v>0</v>
      </c>
      <c r="N59" s="40">
        <f>'[7]合并所有者权益变动表 '!N22</f>
        <v>0</v>
      </c>
      <c r="O59" s="186"/>
    </row>
    <row r="60" ht="20.25" customHeight="1" spans="1:15">
      <c r="A60" s="25" t="s">
        <v>282</v>
      </c>
      <c r="B60" s="21">
        <f>'[7]合并所有者权益变动表 '!B23</f>
        <v>0</v>
      </c>
      <c r="C60" s="21">
        <f>'[7]合并所有者权益变动表 '!C23</f>
        <v>0</v>
      </c>
      <c r="D60" s="21">
        <f>'[7]合并所有者权益变动表 '!D23</f>
        <v>0</v>
      </c>
      <c r="E60" s="21">
        <f>'[7]合并所有者权益变动表 '!E23</f>
        <v>0</v>
      </c>
      <c r="F60" s="21">
        <f>'[7]合并所有者权益变动表 '!F23</f>
        <v>0</v>
      </c>
      <c r="G60" s="21">
        <f>'[7]合并所有者权益变动表 '!G23</f>
        <v>0</v>
      </c>
      <c r="H60" s="21">
        <f>'[7]合并所有者权益变动表 '!H23</f>
        <v>0</v>
      </c>
      <c r="I60" s="21">
        <f>'[7]合并所有者权益变动表 '!I23</f>
        <v>0</v>
      </c>
      <c r="J60" s="21">
        <f>'[7]合并所有者权益变动表 '!J23</f>
        <v>0</v>
      </c>
      <c r="K60" s="21">
        <f>'[7]合并所有者权益变动表 '!K23</f>
        <v>0</v>
      </c>
      <c r="L60" s="21">
        <f>'[7]合并所有者权益变动表 '!L23</f>
        <v>0</v>
      </c>
      <c r="M60" s="21">
        <f>'[7]合并所有者权益变动表 '!M23</f>
        <v>0</v>
      </c>
      <c r="N60" s="40">
        <f>'[7]合并所有者权益变动表 '!N23</f>
        <v>0</v>
      </c>
      <c r="O60" s="186"/>
    </row>
    <row r="61" ht="20.25" customHeight="1" spans="1:15">
      <c r="A61" s="25" t="s">
        <v>283</v>
      </c>
      <c r="B61" s="21">
        <f>'[7]合并所有者权益变动表 '!B24</f>
        <v>0</v>
      </c>
      <c r="C61" s="21">
        <f>'[7]合并所有者权益变动表 '!C24</f>
        <v>0</v>
      </c>
      <c r="D61" s="21">
        <f>'[7]合并所有者权益变动表 '!D24</f>
        <v>0</v>
      </c>
      <c r="E61" s="21">
        <f>'[7]合并所有者权益变动表 '!E24</f>
        <v>0</v>
      </c>
      <c r="F61" s="21">
        <f>'[7]合并所有者权益变动表 '!F24</f>
        <v>0</v>
      </c>
      <c r="G61" s="21">
        <f>'[7]合并所有者权益变动表 '!G24</f>
        <v>0</v>
      </c>
      <c r="H61" s="21">
        <f>'[7]合并所有者权益变动表 '!H24</f>
        <v>0</v>
      </c>
      <c r="I61" s="21">
        <f>'[7]合并所有者权益变动表 '!I24</f>
        <v>0</v>
      </c>
      <c r="J61" s="21">
        <f>'[7]合并所有者权益变动表 '!J24</f>
        <v>0</v>
      </c>
      <c r="K61" s="21">
        <f>'[7]合并所有者权益变动表 '!K24</f>
        <v>0</v>
      </c>
      <c r="L61" s="21">
        <f>'[7]合并所有者权益变动表 '!L24</f>
        <v>0</v>
      </c>
      <c r="M61" s="21">
        <f>'[7]合并所有者权益变动表 '!M24</f>
        <v>0</v>
      </c>
      <c r="N61" s="40">
        <f>'[7]合并所有者权益变动表 '!N24</f>
        <v>0</v>
      </c>
      <c r="O61" s="186"/>
    </row>
    <row r="62" ht="20.25" customHeight="1" spans="1:15">
      <c r="A62" s="25" t="s">
        <v>284</v>
      </c>
      <c r="B62" s="21">
        <f>'[7]合并所有者权益变动表 '!B25</f>
        <v>0</v>
      </c>
      <c r="C62" s="21">
        <f>'[7]合并所有者权益变动表 '!C25</f>
        <v>0</v>
      </c>
      <c r="D62" s="21">
        <f>'[7]合并所有者权益变动表 '!D25</f>
        <v>0</v>
      </c>
      <c r="E62" s="21">
        <f>'[7]合并所有者权益变动表 '!E25</f>
        <v>0</v>
      </c>
      <c r="F62" s="21">
        <f>'[7]合并所有者权益变动表 '!F25</f>
        <v>0</v>
      </c>
      <c r="G62" s="21">
        <f>'[7]合并所有者权益变动表 '!G25</f>
        <v>0</v>
      </c>
      <c r="H62" s="21">
        <f>'[7]合并所有者权益变动表 '!H25</f>
        <v>0</v>
      </c>
      <c r="I62" s="21">
        <f>'[7]合并所有者权益变动表 '!I25</f>
        <v>0</v>
      </c>
      <c r="J62" s="21">
        <f>'[7]合并所有者权益变动表 '!J25</f>
        <v>0</v>
      </c>
      <c r="K62" s="21">
        <f>'[7]合并所有者权益变动表 '!K25</f>
        <v>0</v>
      </c>
      <c r="L62" s="21">
        <f>'[7]合并所有者权益变动表 '!L25</f>
        <v>0</v>
      </c>
      <c r="M62" s="21">
        <f>'[7]合并所有者权益变动表 '!M25</f>
        <v>0</v>
      </c>
      <c r="N62" s="40">
        <f>'[7]合并所有者权益变动表 '!N25</f>
        <v>0</v>
      </c>
      <c r="O62" s="186"/>
    </row>
    <row r="63" ht="20.25" customHeight="1" spans="1:15">
      <c r="A63" s="25" t="s">
        <v>285</v>
      </c>
      <c r="B63" s="21">
        <f>'[7]合并所有者权益变动表 '!B26</f>
        <v>0</v>
      </c>
      <c r="C63" s="21">
        <f>'[7]合并所有者权益变动表 '!C26</f>
        <v>0</v>
      </c>
      <c r="D63" s="21">
        <f>'[7]合并所有者权益变动表 '!D26</f>
        <v>0</v>
      </c>
      <c r="E63" s="21">
        <f>'[7]合并所有者权益变动表 '!E26</f>
        <v>0</v>
      </c>
      <c r="F63" s="21">
        <f>'[7]合并所有者权益变动表 '!F26</f>
        <v>0</v>
      </c>
      <c r="G63" s="21">
        <f>'[7]合并所有者权益变动表 '!G26</f>
        <v>0</v>
      </c>
      <c r="H63" s="21">
        <f>'[7]合并所有者权益变动表 '!H26</f>
        <v>0</v>
      </c>
      <c r="I63" s="21">
        <f>'[7]合并所有者权益变动表 '!I26</f>
        <v>0</v>
      </c>
      <c r="J63" s="21">
        <f>'[7]合并所有者权益变动表 '!J26</f>
        <v>0</v>
      </c>
      <c r="K63" s="21">
        <f>'[7]合并所有者权益变动表 '!K26</f>
        <v>0</v>
      </c>
      <c r="L63" s="21">
        <f>'[7]合并所有者权益变动表 '!L26</f>
        <v>0</v>
      </c>
      <c r="M63" s="21">
        <f>'[7]合并所有者权益变动表 '!M26</f>
        <v>0</v>
      </c>
      <c r="N63" s="40">
        <f>'[7]合并所有者权益变动表 '!N26</f>
        <v>0</v>
      </c>
      <c r="O63" s="186"/>
    </row>
    <row r="64" ht="20.25" customHeight="1" spans="1:15">
      <c r="A64" s="25" t="s">
        <v>286</v>
      </c>
      <c r="B64" s="21">
        <f>'[7]合并所有者权益变动表 '!B27</f>
        <v>0</v>
      </c>
      <c r="C64" s="21">
        <f>'[7]合并所有者权益变动表 '!C27</f>
        <v>0</v>
      </c>
      <c r="D64" s="21">
        <f>'[7]合并所有者权益变动表 '!D27</f>
        <v>0</v>
      </c>
      <c r="E64" s="21">
        <f>'[7]合并所有者权益变动表 '!E27</f>
        <v>0</v>
      </c>
      <c r="F64" s="21">
        <f>'[7]合并所有者权益变动表 '!F27</f>
        <v>0</v>
      </c>
      <c r="G64" s="21">
        <f>'[7]合并所有者权益变动表 '!G27</f>
        <v>0</v>
      </c>
      <c r="H64" s="21">
        <f>'[7]合并所有者权益变动表 '!H27</f>
        <v>0</v>
      </c>
      <c r="I64" s="21">
        <f>'[7]合并所有者权益变动表 '!I27</f>
        <v>0</v>
      </c>
      <c r="J64" s="21">
        <f>'[7]合并所有者权益变动表 '!J27</f>
        <v>0</v>
      </c>
      <c r="K64" s="21">
        <f>'[7]合并所有者权益变动表 '!K27</f>
        <v>0</v>
      </c>
      <c r="L64" s="21">
        <f>'[7]合并所有者权益变动表 '!L27</f>
        <v>0</v>
      </c>
      <c r="M64" s="21">
        <f>'[7]合并所有者权益变动表 '!M27</f>
        <v>0</v>
      </c>
      <c r="N64" s="40">
        <f>'[7]合并所有者权益变动表 '!N27</f>
        <v>0</v>
      </c>
      <c r="O64" s="186"/>
    </row>
    <row r="65" ht="19.5" customHeight="1" spans="1:15">
      <c r="A65" s="25" t="s">
        <v>287</v>
      </c>
      <c r="B65" s="21">
        <f>'[7]合并所有者权益变动表 '!B28</f>
        <v>0</v>
      </c>
      <c r="C65" s="21">
        <f>'[7]合并所有者权益变动表 '!C28</f>
        <v>0</v>
      </c>
      <c r="D65" s="21">
        <f>'[7]合并所有者权益变动表 '!D28</f>
        <v>0</v>
      </c>
      <c r="E65" s="21">
        <f>'[7]合并所有者权益变动表 '!E28</f>
        <v>0</v>
      </c>
      <c r="F65" s="21">
        <f>'[7]合并所有者权益变动表 '!F28</f>
        <v>0</v>
      </c>
      <c r="G65" s="21">
        <f>'[7]合并所有者权益变动表 '!G28</f>
        <v>0</v>
      </c>
      <c r="H65" s="21">
        <f>'[7]合并所有者权益变动表 '!H28</f>
        <v>0</v>
      </c>
      <c r="I65" s="21">
        <f>'[7]合并所有者权益变动表 '!I28</f>
        <v>0</v>
      </c>
      <c r="J65" s="21">
        <f>'[7]合并所有者权益变动表 '!J28</f>
        <v>0</v>
      </c>
      <c r="K65" s="21">
        <f>'[7]合并所有者权益变动表 '!K28</f>
        <v>0</v>
      </c>
      <c r="L65" s="21">
        <f>'[7]合并所有者权益变动表 '!L28</f>
        <v>0</v>
      </c>
      <c r="M65" s="21">
        <f>'[7]合并所有者权益变动表 '!M28</f>
        <v>0</v>
      </c>
      <c r="N65" s="40">
        <f>'[7]合并所有者权益变动表 '!N28</f>
        <v>0</v>
      </c>
      <c r="O65" s="186"/>
    </row>
    <row r="66" ht="20.25" customHeight="1" spans="1:15">
      <c r="A66" s="19" t="s">
        <v>288</v>
      </c>
      <c r="B66" s="21">
        <f>'[7]合并所有者权益变动表 '!B29</f>
        <v>0</v>
      </c>
      <c r="C66" s="21">
        <f>'[7]合并所有者权益变动表 '!C29</f>
        <v>0</v>
      </c>
      <c r="D66" s="21">
        <f>'[7]合并所有者权益变动表 '!D29</f>
        <v>0</v>
      </c>
      <c r="E66" s="21">
        <f>'[7]合并所有者权益变动表 '!E29</f>
        <v>0</v>
      </c>
      <c r="F66" s="21">
        <f>'[7]合并所有者权益变动表 '!F29</f>
        <v>0</v>
      </c>
      <c r="G66" s="21">
        <f>'[7]合并所有者权益变动表 '!G29</f>
        <v>0</v>
      </c>
      <c r="H66" s="21">
        <f>'[7]合并所有者权益变动表 '!H29</f>
        <v>0</v>
      </c>
      <c r="I66" s="21">
        <f>'[7]合并所有者权益变动表 '!I29</f>
        <v>0</v>
      </c>
      <c r="J66" s="21">
        <f>'[7]合并所有者权益变动表 '!J29</f>
        <v>0</v>
      </c>
      <c r="K66" s="21">
        <f>'[7]合并所有者权益变动表 '!K29</f>
        <v>0</v>
      </c>
      <c r="L66" s="21">
        <f>'[7]合并所有者权益变动表 '!L29</f>
        <v>0</v>
      </c>
      <c r="M66" s="21">
        <f>'[7]合并所有者权益变动表 '!M29</f>
        <v>0</v>
      </c>
      <c r="N66" s="40">
        <f>'[7]合并所有者权益变动表 '!N29</f>
        <v>0</v>
      </c>
      <c r="O66" s="186"/>
    </row>
    <row r="67" ht="20.25" customHeight="1" spans="1:15">
      <c r="A67" s="19" t="s">
        <v>289</v>
      </c>
      <c r="B67" s="21">
        <f>'[7]合并所有者权益变动表 '!B30</f>
        <v>0</v>
      </c>
      <c r="C67" s="21">
        <f>'[7]合并所有者权益变动表 '!C30</f>
        <v>0</v>
      </c>
      <c r="D67" s="21">
        <f>'[7]合并所有者权益变动表 '!D30</f>
        <v>0</v>
      </c>
      <c r="E67" s="21">
        <f>'[7]合并所有者权益变动表 '!E30</f>
        <v>0</v>
      </c>
      <c r="F67" s="21">
        <f>'[7]合并所有者权益变动表 '!F30</f>
        <v>0</v>
      </c>
      <c r="G67" s="21">
        <f>'[7]合并所有者权益变动表 '!G30</f>
        <v>0</v>
      </c>
      <c r="H67" s="21">
        <f>'[7]合并所有者权益变动表 '!H30</f>
        <v>0</v>
      </c>
      <c r="I67" s="21">
        <f>'[7]合并所有者权益变动表 '!I30</f>
        <v>0</v>
      </c>
      <c r="J67" s="21">
        <f>'[7]合并所有者权益变动表 '!J30</f>
        <v>0</v>
      </c>
      <c r="K67" s="21">
        <f>'[7]合并所有者权益变动表 '!K30</f>
        <v>0</v>
      </c>
      <c r="L67" s="21">
        <f>'[7]合并所有者权益变动表 '!L30</f>
        <v>0</v>
      </c>
      <c r="M67" s="21">
        <f>'[7]合并所有者权益变动表 '!M30</f>
        <v>0</v>
      </c>
      <c r="N67" s="40">
        <f>'[7]合并所有者权益变动表 '!N30</f>
        <v>0</v>
      </c>
      <c r="O67" s="186"/>
    </row>
    <row r="68" ht="20.25" customHeight="1" spans="1:15">
      <c r="A68" s="19" t="s">
        <v>290</v>
      </c>
      <c r="B68" s="21">
        <f>'[7]合并所有者权益变动表 '!B31</f>
        <v>0</v>
      </c>
      <c r="C68" s="21">
        <f>'[7]合并所有者权益变动表 '!C31</f>
        <v>0</v>
      </c>
      <c r="D68" s="21">
        <f>'[7]合并所有者权益变动表 '!D31</f>
        <v>0</v>
      </c>
      <c r="E68" s="21">
        <f>'[7]合并所有者权益变动表 '!E31</f>
        <v>0</v>
      </c>
      <c r="F68" s="21">
        <f>'[7]合并所有者权益变动表 '!F31</f>
        <v>0</v>
      </c>
      <c r="G68" s="21">
        <f>'[7]合并所有者权益变动表 '!G31</f>
        <v>0</v>
      </c>
      <c r="H68" s="21">
        <f>'[7]合并所有者权益变动表 '!H31</f>
        <v>0</v>
      </c>
      <c r="I68" s="21">
        <f>'[7]合并所有者权益变动表 '!I31</f>
        <v>0</v>
      </c>
      <c r="J68" s="21">
        <f>'[7]合并所有者权益变动表 '!J31</f>
        <v>0</v>
      </c>
      <c r="K68" s="21">
        <f>'[7]合并所有者权益变动表 '!K31</f>
        <v>0</v>
      </c>
      <c r="L68" s="21">
        <f>'[7]合并所有者权益变动表 '!L31</f>
        <v>0</v>
      </c>
      <c r="M68" s="21">
        <f>'[7]合并所有者权益变动表 '!M31</f>
        <v>0</v>
      </c>
      <c r="N68" s="40">
        <f>'[7]合并所有者权益变动表 '!N31</f>
        <v>0</v>
      </c>
      <c r="O68" s="186"/>
    </row>
    <row r="69" ht="20.25" customHeight="1" spans="1:15">
      <c r="A69" s="25" t="s">
        <v>291</v>
      </c>
      <c r="B69" s="21">
        <f>'[7]合并所有者权益变动表 '!B32</f>
        <v>0</v>
      </c>
      <c r="C69" s="21">
        <f>'[7]合并所有者权益变动表 '!C32</f>
        <v>0</v>
      </c>
      <c r="D69" s="21">
        <f>'[7]合并所有者权益变动表 '!D32</f>
        <v>0</v>
      </c>
      <c r="E69" s="21">
        <f>'[7]合并所有者权益变动表 '!E32</f>
        <v>0</v>
      </c>
      <c r="F69" s="21">
        <f>'[7]合并所有者权益变动表 '!F32</f>
        <v>0</v>
      </c>
      <c r="G69" s="21">
        <f>'[7]合并所有者权益变动表 '!G32</f>
        <v>0</v>
      </c>
      <c r="H69" s="21">
        <f>'[7]合并所有者权益变动表 '!H32</f>
        <v>0</v>
      </c>
      <c r="I69" s="21">
        <f>'[7]合并所有者权益变动表 '!I32</f>
        <v>1601724.2</v>
      </c>
      <c r="J69" s="21">
        <f>'[7]合并所有者权益变动表 '!J32</f>
        <v>0</v>
      </c>
      <c r="K69" s="21">
        <f>'[7]合并所有者权益变动表 '!K32</f>
        <v>0</v>
      </c>
      <c r="L69" s="21">
        <f>'[7]合并所有者权益变动表 '!L32</f>
        <v>1601724.2</v>
      </c>
      <c r="M69" s="21">
        <f>'[7]合并所有者权益变动表 '!M32</f>
        <v>0</v>
      </c>
      <c r="N69" s="40">
        <f>'[7]合并所有者权益变动表 '!N32</f>
        <v>1601724.2</v>
      </c>
      <c r="O69" s="186"/>
    </row>
    <row r="70" ht="20.25" customHeight="1" spans="1:15">
      <c r="A70" s="25" t="s">
        <v>292</v>
      </c>
      <c r="B70" s="21">
        <f>'[7]合并所有者权益变动表 '!B33</f>
        <v>0</v>
      </c>
      <c r="C70" s="21">
        <f>'[7]合并所有者权益变动表 '!C33</f>
        <v>0</v>
      </c>
      <c r="D70" s="21">
        <f>'[7]合并所有者权益变动表 '!D33</f>
        <v>0</v>
      </c>
      <c r="E70" s="21">
        <f>'[7]合并所有者权益变动表 '!E33</f>
        <v>0</v>
      </c>
      <c r="F70" s="21">
        <f>'[7]合并所有者权益变动表 '!F33</f>
        <v>0</v>
      </c>
      <c r="G70" s="21">
        <f>'[7]合并所有者权益变动表 '!G33</f>
        <v>0</v>
      </c>
      <c r="H70" s="21">
        <f>'[7]合并所有者权益变动表 '!H33</f>
        <v>0</v>
      </c>
      <c r="I70" s="21">
        <f>'[7]合并所有者权益变动表 '!I33</f>
        <v>1851107.89</v>
      </c>
      <c r="J70" s="21">
        <f>'[7]合并所有者权益变动表 '!J33</f>
        <v>0</v>
      </c>
      <c r="K70" s="21">
        <f>'[7]合并所有者权益变动表 '!K33</f>
        <v>0</v>
      </c>
      <c r="L70" s="21">
        <f>'[7]合并所有者权益变动表 '!L33</f>
        <v>1851107.89</v>
      </c>
      <c r="M70" s="21">
        <f>'[7]合并所有者权益变动表 '!M33</f>
        <v>0</v>
      </c>
      <c r="N70" s="40">
        <f>'[7]合并所有者权益变动表 '!N33</f>
        <v>1851107.89</v>
      </c>
      <c r="O70" s="186"/>
    </row>
    <row r="71" ht="20.25" customHeight="1" spans="1:15">
      <c r="A71" s="25" t="s">
        <v>293</v>
      </c>
      <c r="B71" s="21">
        <f>'[7]合并所有者权益变动表 '!B34</f>
        <v>0</v>
      </c>
      <c r="C71" s="21">
        <f>'[7]合并所有者权益变动表 '!C34</f>
        <v>0</v>
      </c>
      <c r="D71" s="21">
        <f>'[7]合并所有者权益变动表 '!D34</f>
        <v>0</v>
      </c>
      <c r="E71" s="21">
        <f>'[7]合并所有者权益变动表 '!E34</f>
        <v>0</v>
      </c>
      <c r="F71" s="21">
        <f>'[7]合并所有者权益变动表 '!F34</f>
        <v>0</v>
      </c>
      <c r="G71" s="21">
        <f>'[7]合并所有者权益变动表 '!G34</f>
        <v>0</v>
      </c>
      <c r="H71" s="21">
        <f>'[7]合并所有者权益变动表 '!H34</f>
        <v>0</v>
      </c>
      <c r="I71" s="21">
        <f>'[7]合并所有者权益变动表 '!I34</f>
        <v>249383.69</v>
      </c>
      <c r="J71" s="21">
        <f>'[7]合并所有者权益变动表 '!J34</f>
        <v>0</v>
      </c>
      <c r="K71" s="21">
        <f>'[7]合并所有者权益变动表 '!K34</f>
        <v>0</v>
      </c>
      <c r="L71" s="21">
        <f>'[7]合并所有者权益变动表 '!L34</f>
        <v>249383.69</v>
      </c>
      <c r="M71" s="21">
        <f>'[7]合并所有者权益变动表 '!M34</f>
        <v>0</v>
      </c>
      <c r="N71" s="40">
        <f>'[7]合并所有者权益变动表 '!N34</f>
        <v>249383.69</v>
      </c>
      <c r="O71" s="186"/>
    </row>
    <row r="72" ht="20.25" customHeight="1" spans="1:15">
      <c r="A72" s="25" t="s">
        <v>294</v>
      </c>
      <c r="B72" s="21">
        <f>'[7]合并所有者权益变动表 '!B35</f>
        <v>0</v>
      </c>
      <c r="C72" s="21">
        <f>'[7]合并所有者权益变动表 '!C35</f>
        <v>0</v>
      </c>
      <c r="D72" s="21">
        <f>'[7]合并所有者权益变动表 '!D35</f>
        <v>0</v>
      </c>
      <c r="E72" s="21">
        <f>'[7]合并所有者权益变动表 '!E35</f>
        <v>0</v>
      </c>
      <c r="F72" s="21">
        <f>'[7]合并所有者权益变动表 '!F35</f>
        <v>0</v>
      </c>
      <c r="G72" s="21">
        <f>'[7]合并所有者权益变动表 '!G35</f>
        <v>0</v>
      </c>
      <c r="H72" s="21">
        <f>'[7]合并所有者权益变动表 '!H35</f>
        <v>0</v>
      </c>
      <c r="I72" s="21">
        <f>'[7]合并所有者权益变动表 '!I35</f>
        <v>0</v>
      </c>
      <c r="J72" s="21">
        <f>'[7]合并所有者权益变动表 '!J35</f>
        <v>0</v>
      </c>
      <c r="K72" s="21">
        <f>'[7]合并所有者权益变动表 '!K35</f>
        <v>0</v>
      </c>
      <c r="L72" s="21">
        <f>'[7]合并所有者权益变动表 '!L35</f>
        <v>0</v>
      </c>
      <c r="M72" s="21">
        <f>'[7]合并所有者权益变动表 '!M35</f>
        <v>0</v>
      </c>
      <c r="N72" s="40">
        <f>'[7]合并所有者权益变动表 '!N35</f>
        <v>0</v>
      </c>
      <c r="O72" s="186"/>
    </row>
    <row r="73" s="2" customFormat="1" ht="20.25" customHeight="1" spans="1:15">
      <c r="A73" s="173" t="s">
        <v>295</v>
      </c>
      <c r="B73" s="28">
        <f>'[7]合并所有者权益变动表 '!B36</f>
        <v>1500000000</v>
      </c>
      <c r="C73" s="29">
        <f>'[7]合并所有者权益变动表 '!C36</f>
        <v>0</v>
      </c>
      <c r="D73" s="29">
        <f>'[7]合并所有者权益变动表 '!D36</f>
        <v>0</v>
      </c>
      <c r="E73" s="29">
        <f>'[7]合并所有者权益变动表 '!E36</f>
        <v>0</v>
      </c>
      <c r="F73" s="28">
        <f>'[7]合并所有者权益变动表 '!F36</f>
        <v>22897717896.11</v>
      </c>
      <c r="G73" s="29">
        <f>'[7]合并所有者权益变动表 '!G36</f>
        <v>0</v>
      </c>
      <c r="H73" s="29">
        <f>'[7]合并所有者权益变动表 '!H36</f>
        <v>390962134.89</v>
      </c>
      <c r="I73" s="29">
        <f>'[7]合并所有者权益变动表 '!I36</f>
        <v>3470732.51</v>
      </c>
      <c r="J73" s="28">
        <f>'[7]合并所有者权益变动表 '!J36</f>
        <v>70332998.57</v>
      </c>
      <c r="K73" s="28">
        <f>'[7]合并所有者权益变动表 '!K36</f>
        <v>2489635882.13</v>
      </c>
      <c r="L73" s="28">
        <f>'[7]合并所有者权益变动表 '!L36</f>
        <v>27352119644.21</v>
      </c>
      <c r="M73" s="29">
        <f>'[7]合并所有者权益变动表 '!M36</f>
        <v>4941150073.71</v>
      </c>
      <c r="N73" s="185">
        <f>'[7]合并所有者权益变动表 '!N36</f>
        <v>32293269717.92</v>
      </c>
      <c r="O73" s="186"/>
    </row>
    <row r="74" s="2" customFormat="1" ht="23.25" customHeight="1" spans="1:14">
      <c r="A74" s="174" t="s">
        <v>296</v>
      </c>
      <c r="B74" s="175"/>
      <c r="C74" s="175"/>
      <c r="D74" s="175"/>
      <c r="E74" s="175"/>
      <c r="F74" s="175"/>
      <c r="G74" s="175" t="s">
        <v>297</v>
      </c>
      <c r="H74" s="175"/>
      <c r="I74" s="175"/>
      <c r="J74" s="175"/>
      <c r="K74" s="175"/>
      <c r="L74" s="175"/>
      <c r="M74" s="175" t="s">
        <v>247</v>
      </c>
      <c r="N74" s="4"/>
    </row>
    <row r="75" ht="16.1" customHeight="1" spans="1:14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</row>
    <row r="76" s="161" customFormat="1" ht="20.25" customHeight="1" spans="2:14">
      <c r="B76" s="161">
        <f>B73-B78</f>
        <v>0</v>
      </c>
      <c r="C76" s="161">
        <f t="shared" ref="C76:N76" si="9">C73-C78</f>
        <v>0</v>
      </c>
      <c r="D76" s="161">
        <f t="shared" si="9"/>
        <v>0</v>
      </c>
      <c r="E76" s="161">
        <f t="shared" si="9"/>
        <v>0</v>
      </c>
      <c r="F76" s="161">
        <f t="shared" si="9"/>
        <v>1838649642.65</v>
      </c>
      <c r="G76" s="161">
        <f t="shared" si="9"/>
        <v>0</v>
      </c>
      <c r="H76" s="161">
        <f t="shared" si="9"/>
        <v>0</v>
      </c>
      <c r="I76" s="161">
        <f t="shared" si="9"/>
        <v>-2670605</v>
      </c>
      <c r="J76" s="161">
        <f t="shared" si="9"/>
        <v>0</v>
      </c>
      <c r="K76" s="161">
        <f t="shared" si="9"/>
        <v>-50292614.4899998</v>
      </c>
      <c r="L76" s="161">
        <f t="shared" si="9"/>
        <v>1785686423.16</v>
      </c>
      <c r="M76" s="161">
        <f t="shared" si="9"/>
        <v>-132755941.4</v>
      </c>
      <c r="N76" s="161">
        <f t="shared" si="9"/>
        <v>1652930481.76</v>
      </c>
    </row>
    <row r="77" s="161" customFormat="1" ht="20.25" customHeight="1" spans="1:14">
      <c r="A77" s="156"/>
      <c r="B77" s="161">
        <f>B36-合并资产负债表!G37</f>
        <v>0</v>
      </c>
      <c r="F77" s="161">
        <f>F36-合并资产负债表!G41</f>
        <v>0</v>
      </c>
      <c r="H77" s="161">
        <f>H36-合并资产负债表!G43</f>
        <v>0</v>
      </c>
      <c r="I77" s="161">
        <f>I36-合并资产负债表!G44</f>
        <v>0</v>
      </c>
      <c r="J77" s="161">
        <f>J36-合并资产负债表!G45</f>
        <v>0</v>
      </c>
      <c r="K77" s="161">
        <f>K36-合并资产负债表!G46</f>
        <v>0</v>
      </c>
      <c r="L77" s="161">
        <f>L36-合并资产负债表!G47</f>
        <v>0</v>
      </c>
      <c r="M77" s="161">
        <f>M36-合并资产负债表!G48</f>
        <v>0</v>
      </c>
      <c r="N77" s="161">
        <f>N36-合并资产负债表!G49</f>
        <v>0</v>
      </c>
    </row>
    <row r="78" ht="20.25" hidden="1" customHeight="1" spans="2:16">
      <c r="B78" s="161">
        <f>合并资产负债表!H37</f>
        <v>1500000000</v>
      </c>
      <c r="C78" s="161">
        <v>0</v>
      </c>
      <c r="D78" s="161">
        <v>0</v>
      </c>
      <c r="E78" s="161">
        <v>0</v>
      </c>
      <c r="F78" s="161">
        <f>合并资产负债表!H41</f>
        <v>21059068253.46</v>
      </c>
      <c r="G78" s="161">
        <v>0</v>
      </c>
      <c r="H78" s="161">
        <f>合并资产负债表!H43</f>
        <v>390962134.89</v>
      </c>
      <c r="I78" s="161">
        <f>合并资产负债表!H44</f>
        <v>6141337.51</v>
      </c>
      <c r="J78" s="161">
        <f>合并资产负债表!H45</f>
        <v>70332998.57</v>
      </c>
      <c r="K78" s="161">
        <f>合并资产负债表!H46</f>
        <v>2539928496.62</v>
      </c>
      <c r="L78" s="161">
        <f>合并资产负债表!H47</f>
        <v>25566433221.05</v>
      </c>
      <c r="M78" s="161">
        <f>合并资产负债表!H48</f>
        <v>5073906015.11</v>
      </c>
      <c r="N78" s="161">
        <f>合并资产负债表!H49</f>
        <v>30640339236.16</v>
      </c>
      <c r="P78" s="162">
        <v>30494699180.96</v>
      </c>
    </row>
    <row r="79" ht="20.25" customHeight="1"/>
    <row r="80" ht="20.25" customHeight="1" spans="11:11">
      <c r="K80" s="186"/>
    </row>
    <row r="81" s="162" customFormat="1" ht="20.25" customHeight="1"/>
    <row r="82" s="162" customFormat="1" ht="20.25" customHeight="1"/>
    <row r="83" s="162" customFormat="1" ht="20.25" customHeight="1"/>
    <row r="84" s="162" customFormat="1" ht="20.25" customHeight="1"/>
    <row r="85" s="162" customFormat="1" ht="20.25" customHeight="1"/>
    <row r="86" s="162" customFormat="1" ht="20.25" customHeight="1"/>
    <row r="87" s="162" customFormat="1" ht="20.25" customHeight="1"/>
    <row r="88" s="162" customFormat="1" ht="20.25" customHeight="1"/>
    <row r="89" s="162" customFormat="1" ht="20.25" customHeight="1"/>
    <row r="90" s="162" customFormat="1" ht="20.25" customHeight="1"/>
    <row r="91" s="162" customFormat="1" ht="20.25" customHeight="1"/>
    <row r="92" s="162" customFormat="1" ht="20.25" customHeight="1"/>
    <row r="93" s="162" customFormat="1" ht="20.25" customHeight="1"/>
    <row r="94" s="162" customFormat="1" ht="20.25" customHeight="1"/>
    <row r="95" s="162" customFormat="1" ht="20.25" customHeight="1"/>
    <row r="96" s="162" customFormat="1" ht="20.25" customHeight="1"/>
    <row r="97" s="162" customFormat="1" ht="20.25" customHeight="1"/>
    <row r="98" s="162" customFormat="1" ht="20.25" customHeight="1"/>
    <row r="99" s="162" customFormat="1" ht="20.25" customHeight="1"/>
    <row r="100" s="162" customFormat="1" ht="20.25" customHeight="1"/>
    <row r="101" s="162" customFormat="1" ht="20.25" customHeight="1"/>
    <row r="102" s="162" customFormat="1" ht="20.25" customHeight="1"/>
    <row r="103" s="162" customFormat="1" ht="20.25" customHeight="1"/>
    <row r="104" s="162" customFormat="1" ht="20.25" customHeight="1"/>
    <row r="105" s="162" customFormat="1" ht="20.25" customHeight="1"/>
    <row r="106" s="162" customFormat="1" ht="20.25" customHeight="1"/>
    <row r="107" s="162" customFormat="1" ht="20.25" customHeight="1"/>
    <row r="108" s="162" customFormat="1" ht="20.25" customHeight="1"/>
    <row r="109" s="162" customFormat="1" ht="20.25" customHeight="1"/>
    <row r="110" s="162" customFormat="1" ht="20.25" customHeight="1"/>
    <row r="111" s="162" customFormat="1" ht="20.25" customHeight="1"/>
    <row r="112" s="162" customFormat="1" ht="20.25" customHeight="1"/>
    <row r="113" s="162" customFormat="1" ht="20.25" customHeight="1"/>
    <row r="114" s="162" customFormat="1" ht="20.25" customHeight="1"/>
    <row r="115" s="162" customFormat="1" ht="20.25" customHeight="1"/>
    <row r="116" s="162" customFormat="1" ht="20.25" customHeight="1"/>
    <row r="117" s="162" customFormat="1" ht="20.25" customHeight="1"/>
    <row r="118" s="162" customFormat="1" ht="20.25" customHeight="1"/>
    <row r="119" s="162" customFormat="1" ht="20.25" customHeight="1"/>
    <row r="120" s="162" customFormat="1" ht="20.25" customHeight="1"/>
    <row r="121" s="162" customFormat="1" ht="20.25" customHeight="1"/>
    <row r="122" s="162" customFormat="1" ht="20.25" customHeight="1"/>
    <row r="123" s="162" customFormat="1" ht="20.25" customHeight="1"/>
    <row r="124" s="162" customFormat="1" ht="20.25" customHeight="1"/>
    <row r="125" s="162" customFormat="1" ht="20.25" customHeight="1"/>
    <row r="126" s="162" customFormat="1" ht="20.25" customHeight="1"/>
    <row r="127" s="162" customFormat="1" ht="20.25" customHeight="1"/>
    <row r="128" s="162" customFormat="1" ht="20.25" customHeight="1"/>
    <row r="129" s="162" customFormat="1" ht="20.25" customHeight="1"/>
    <row r="130" s="162" customFormat="1" ht="20.25" customHeight="1"/>
    <row r="131" s="162" customFormat="1" ht="20.25" customHeight="1"/>
    <row r="132" s="162" customFormat="1" ht="20.25" customHeight="1"/>
    <row r="133" s="162" customFormat="1" ht="20.25" customHeight="1"/>
    <row r="134" s="162" customFormat="1" ht="20.25" customHeight="1"/>
    <row r="135" s="162" customFormat="1" ht="20.25" customHeight="1"/>
    <row r="136" s="162" customFormat="1" ht="20.25" customHeight="1"/>
    <row r="137" s="162" customFormat="1" ht="20.25" customHeight="1"/>
    <row r="138" s="162" customFormat="1" ht="20.25" customHeight="1"/>
    <row r="139" s="162" customFormat="1" ht="20.25" customHeight="1"/>
    <row r="140" s="162" customFormat="1" ht="20.25" customHeight="1"/>
    <row r="141" s="162" customFormat="1" ht="20.25" customHeight="1"/>
    <row r="142" s="162" customFormat="1" ht="20.25" customHeight="1"/>
    <row r="143" s="162" customFormat="1" ht="20.25" customHeight="1"/>
    <row r="144" s="162" customFormat="1" ht="20.25" customHeight="1"/>
    <row r="145" s="162" customFormat="1" ht="20.25" customHeight="1"/>
    <row r="146" s="162" customFormat="1" ht="20.25" customHeight="1"/>
    <row r="147" s="162" customFormat="1" ht="20.25" customHeight="1"/>
    <row r="148" s="162" customFormat="1" ht="20.25" customHeight="1"/>
    <row r="149" s="162" customFormat="1" ht="20.25" customHeight="1"/>
    <row r="150" s="162" customFormat="1" ht="20.25" customHeight="1"/>
    <row r="151" s="162" customFormat="1" ht="20.25" customHeight="1"/>
    <row r="152" s="162" customFormat="1" ht="20.25" customHeight="1"/>
    <row r="153" s="162" customFormat="1" ht="20.25" customHeight="1"/>
    <row r="154" s="162" customFormat="1" ht="20.25" customHeight="1"/>
    <row r="155" s="162" customFormat="1" ht="20.25" customHeight="1"/>
    <row r="156" s="162" customFormat="1" ht="20.25" customHeight="1"/>
    <row r="157" s="162" customFormat="1" ht="20.25" customHeight="1"/>
    <row r="158" s="162" customFormat="1" ht="20.25" customHeight="1"/>
    <row r="159" s="162" customFormat="1" ht="20.25" customHeight="1"/>
    <row r="160" s="162" customFormat="1" ht="20.25" customHeight="1"/>
    <row r="161" s="162" customFormat="1" ht="20.25" customHeight="1"/>
    <row r="162" s="162" customFormat="1" ht="20.25" customHeight="1"/>
    <row r="163" s="162" customFormat="1" ht="20.25" customHeight="1"/>
    <row r="164" s="162" customFormat="1" ht="20.25" customHeight="1"/>
    <row r="165" s="162" customFormat="1" ht="20.25" customHeight="1"/>
    <row r="166" s="162" customFormat="1" ht="20.25" customHeight="1"/>
    <row r="167" s="162" customFormat="1" ht="20.25" customHeight="1"/>
    <row r="168" s="162" customFormat="1" ht="20.25" customHeight="1"/>
    <row r="169" s="162" customFormat="1" ht="20.25" customHeight="1"/>
    <row r="170" s="162" customFormat="1" ht="20.25" customHeight="1"/>
    <row r="171" s="162" customFormat="1" ht="20.25" customHeight="1"/>
    <row r="172" s="162" customFormat="1" ht="20.25" customHeight="1"/>
    <row r="173" s="162" customFormat="1" ht="20.25" customHeight="1"/>
    <row r="174" s="162" customFormat="1" ht="20.25" customHeight="1"/>
    <row r="175" s="162" customFormat="1" ht="20.25" customHeight="1"/>
    <row r="176" s="162" customFormat="1" ht="20.25" customHeight="1"/>
    <row r="177" s="162" customFormat="1" ht="20.25" customHeight="1"/>
    <row r="178" s="162" customFormat="1" ht="20.25" customHeight="1"/>
    <row r="179" s="162" customFormat="1" ht="20.25" customHeight="1"/>
    <row r="180" s="162" customFormat="1" ht="20.25" customHeight="1"/>
    <row r="181" s="162" customFormat="1" ht="20.25" customHeight="1"/>
    <row r="182" s="162" customFormat="1" ht="20.25" customHeight="1"/>
    <row r="183" s="162" customFormat="1" ht="20.25" customHeight="1"/>
    <row r="184" s="162" customFormat="1" ht="20.25" customHeight="1"/>
    <row r="185" s="162" customFormat="1" ht="20.25" customHeight="1"/>
    <row r="186" s="162" customFormat="1" ht="20.25" customHeight="1"/>
    <row r="187" s="162" customFormat="1" ht="20.25" customHeight="1"/>
    <row r="188" s="162" customFormat="1" ht="20.25" customHeight="1"/>
    <row r="189" s="162" customFormat="1" ht="20.25" customHeight="1"/>
    <row r="190" s="162" customFormat="1" ht="20.25" customHeight="1"/>
    <row r="191" s="162" customFormat="1" ht="20.25" customHeight="1"/>
    <row r="192" s="162" customFormat="1" ht="20.25" customHeight="1"/>
    <row r="193" s="162" customFormat="1" ht="20.25" customHeight="1"/>
    <row r="194" s="162" customFormat="1" ht="20.25" customHeight="1"/>
    <row r="195" s="162" customFormat="1" ht="20.25" customHeight="1"/>
    <row r="196" s="162" customFormat="1" ht="20.25" customHeight="1"/>
    <row r="197" s="162" customFormat="1" ht="20.25" customHeight="1"/>
    <row r="198" s="162" customFormat="1" ht="20.25" customHeight="1"/>
    <row r="199" s="162" customFormat="1" ht="20.25" customHeight="1"/>
    <row r="200" s="162" customFormat="1" ht="20.25" customHeight="1"/>
    <row r="201" s="162" customFormat="1" ht="20.25" customHeight="1"/>
    <row r="202" s="162" customFormat="1" ht="20.25" customHeight="1"/>
    <row r="203" s="162" customFormat="1" ht="20.25" customHeight="1"/>
    <row r="204" s="162" customFormat="1" ht="20.25" customHeight="1"/>
    <row r="205" s="162" customFormat="1" ht="20.25" customHeight="1"/>
    <row r="206" s="162" customFormat="1" ht="20.25" customHeight="1"/>
    <row r="207" s="162" customFormat="1" ht="20.25" customHeight="1"/>
    <row r="208" s="162" customFormat="1" ht="20.25" customHeight="1"/>
    <row r="209" s="162" customFormat="1" ht="20.25" customHeight="1"/>
    <row r="210" s="162" customFormat="1" ht="20.25" customHeight="1"/>
    <row r="211" s="162" customFormat="1" ht="20.25" customHeight="1"/>
    <row r="212" s="162" customFormat="1" ht="20.25" customHeight="1"/>
    <row r="213" s="162" customFormat="1" ht="20.25" customHeight="1"/>
    <row r="214" s="162" customFormat="1" ht="20.25" customHeight="1"/>
    <row r="215" s="162" customFormat="1" ht="20.25" customHeight="1"/>
    <row r="216" s="162" customFormat="1" ht="20.25" customHeight="1"/>
    <row r="217" s="162" customFormat="1" ht="20.25" customHeight="1"/>
    <row r="218" s="162" customFormat="1" ht="20.25" customHeight="1"/>
    <row r="219" s="162" customFormat="1" ht="20.25" customHeight="1"/>
    <row r="220" s="162" customFormat="1" ht="20.25" customHeight="1"/>
    <row r="221" s="162" customFormat="1" ht="20.25" customHeight="1"/>
    <row r="222" s="162" customFormat="1" ht="20.25" customHeight="1"/>
    <row r="223" s="162" customFormat="1" ht="20.25" customHeight="1"/>
    <row r="224" s="162" customFormat="1" ht="20.25" customHeight="1"/>
    <row r="225" s="162" customFormat="1" ht="20.25" customHeight="1"/>
    <row r="226" s="162" customFormat="1" ht="20.25" customHeight="1"/>
    <row r="227" s="162" customFormat="1" ht="20.25" customHeight="1"/>
    <row r="228" s="162" customFormat="1" ht="20.25" customHeight="1"/>
    <row r="229" s="162" customFormat="1" ht="20.25" customHeight="1"/>
    <row r="230" s="162" customFormat="1" ht="20.25" customHeight="1"/>
    <row r="231" s="162" customFormat="1" ht="20.25" customHeight="1"/>
    <row r="232" s="162" customFormat="1" ht="20.25" customHeight="1"/>
    <row r="233" s="162" customFormat="1" ht="20.25" customHeight="1"/>
    <row r="234" s="162" customFormat="1" ht="20.25" customHeight="1"/>
    <row r="235" s="162" customFormat="1" ht="20.25" customHeight="1"/>
    <row r="236" s="162" customFormat="1" ht="20.25" customHeight="1"/>
    <row r="237" s="162" customFormat="1" ht="20.25" customHeight="1"/>
    <row r="238" s="162" customFormat="1" ht="20.25" customHeight="1"/>
    <row r="239" s="162" customFormat="1" ht="20.25" customHeight="1"/>
    <row r="240" s="162" customFormat="1" ht="20.25" customHeight="1"/>
    <row r="241" s="162" customFormat="1" ht="20.25" customHeight="1"/>
    <row r="242" s="162" customFormat="1" ht="20.25" customHeight="1"/>
    <row r="243" s="162" customFormat="1" ht="20.25" customHeight="1"/>
    <row r="244" s="162" customFormat="1" ht="20.25" customHeight="1"/>
    <row r="245" s="162" customFormat="1" ht="20.25" customHeight="1"/>
    <row r="246" s="162" customFormat="1" ht="20.25" customHeight="1"/>
    <row r="247" s="162" customFormat="1" ht="20.25" customHeight="1"/>
    <row r="248" s="162" customFormat="1" ht="20.25" customHeight="1"/>
    <row r="249" s="162" customFormat="1" ht="20.25" customHeight="1"/>
    <row r="250" s="162" customFormat="1" ht="20.25" customHeight="1"/>
    <row r="251" s="162" customFormat="1" ht="20.25" customHeight="1"/>
    <row r="252" s="162" customFormat="1" ht="20.25" customHeight="1"/>
    <row r="253" s="162" customFormat="1" ht="20.25" customHeight="1"/>
    <row r="254" s="162" customFormat="1" ht="20.25" customHeight="1"/>
    <row r="255" s="162" customFormat="1" ht="20.25" customHeight="1"/>
    <row r="256" s="162" customFormat="1" ht="20.25" customHeight="1"/>
    <row r="257" s="162" customFormat="1" ht="20.25" customHeight="1"/>
    <row r="258" s="162" customFormat="1" ht="20.25" customHeight="1"/>
    <row r="259" s="162" customFormat="1" ht="20.25" customHeight="1"/>
    <row r="260" s="162" customFormat="1" ht="20.25" customHeight="1"/>
    <row r="261" s="162" customFormat="1" ht="20.25" customHeight="1"/>
    <row r="262" s="162" customFormat="1" ht="20.25" customHeight="1"/>
    <row r="263" s="162" customFormat="1" ht="20.25" customHeight="1"/>
    <row r="264" s="162" customFormat="1" ht="20.25" customHeight="1"/>
    <row r="265" s="162" customFormat="1" ht="20.25" customHeight="1"/>
    <row r="266" s="162" customFormat="1" ht="20.25" customHeight="1"/>
    <row r="267" s="162" customFormat="1" ht="20.25" customHeight="1"/>
    <row r="268" s="162" customFormat="1" ht="20.25" customHeight="1"/>
    <row r="269" s="162" customFormat="1" ht="20.25" customHeight="1"/>
    <row r="270" s="162" customFormat="1" ht="20.25" customHeight="1"/>
    <row r="271" s="162" customFormat="1" ht="20.25" customHeight="1"/>
    <row r="272" s="162" customFormat="1" ht="20.25" customHeight="1"/>
    <row r="273" s="162" customFormat="1" ht="20.25" customHeight="1"/>
    <row r="274" s="162" customFormat="1" ht="20.25" customHeight="1"/>
    <row r="275" s="162" customFormat="1" ht="20.25" customHeight="1"/>
    <row r="276" s="162" customFormat="1" ht="20.25" customHeight="1"/>
    <row r="277" s="162" customFormat="1" ht="20.25" customHeight="1"/>
    <row r="278" s="162" customFormat="1" ht="20.25" customHeight="1"/>
    <row r="279" s="162" customFormat="1" ht="20.25" customHeight="1"/>
    <row r="280" s="162" customFormat="1" ht="20.25" customHeight="1"/>
    <row r="281" s="162" customFormat="1" ht="20.25" customHeight="1"/>
    <row r="282" s="162" customFormat="1" ht="20.25" customHeight="1"/>
    <row r="283" s="162" customFormat="1" ht="20.25" customHeight="1"/>
    <row r="284" s="162" customFormat="1" ht="20.25" customHeight="1"/>
    <row r="285" s="162" customFormat="1" ht="20.25" customHeight="1"/>
    <row r="286" s="162" customFormat="1" ht="20.25" customHeight="1"/>
    <row r="287" s="162" customFormat="1" ht="20.25" customHeight="1"/>
    <row r="288" s="162" customFormat="1" ht="20.25" customHeight="1"/>
    <row r="289" s="162" customFormat="1" ht="20.25" customHeight="1"/>
    <row r="290" s="162" customFormat="1" ht="20.25" customHeight="1"/>
    <row r="291" s="162" customFormat="1" ht="20.25" customHeight="1"/>
    <row r="292" s="162" customFormat="1" ht="20.25" customHeight="1"/>
    <row r="293" s="162" customFormat="1" ht="20.25" customHeight="1"/>
    <row r="294" s="162" customFormat="1" ht="20.25" customHeight="1"/>
    <row r="295" s="162" customFormat="1" ht="20.25" customHeight="1"/>
    <row r="296" s="162" customFormat="1" ht="20.25" customHeight="1"/>
    <row r="297" s="162" customFormat="1" ht="20.25" customHeight="1"/>
    <row r="298" s="162" customFormat="1" ht="20.25" customHeight="1"/>
    <row r="299" s="162" customFormat="1" ht="20.25" customHeight="1"/>
    <row r="300" s="162" customFormat="1" ht="20.25" customHeight="1"/>
    <row r="301" s="162" customFormat="1" ht="20.25" customHeight="1"/>
    <row r="302" s="162" customFormat="1" ht="20.25" customHeight="1"/>
    <row r="303" s="162" customFormat="1" ht="20.25" customHeight="1"/>
    <row r="304" s="162" customFormat="1" ht="20.25" customHeight="1"/>
    <row r="305" s="162" customFormat="1" ht="20.25" customHeight="1"/>
    <row r="306" s="162" customFormat="1" ht="20.25" customHeight="1"/>
    <row r="307" s="162" customFormat="1" ht="20.25" customHeight="1"/>
    <row r="308" s="162" customFormat="1" ht="20.25" customHeight="1"/>
    <row r="309" s="162" customFormat="1" ht="20.25" customHeight="1"/>
    <row r="310" s="162" customFormat="1" ht="20.25" customHeight="1"/>
    <row r="311" s="162" customFormat="1" ht="20.25" customHeight="1"/>
    <row r="312" s="162" customFormat="1" ht="20.25" customHeight="1"/>
    <row r="313" s="162" customFormat="1" ht="20.25" customHeight="1"/>
    <row r="314" s="162" customFormat="1" ht="20.25" customHeight="1"/>
    <row r="315" s="162" customFormat="1" ht="20.25" customHeight="1"/>
    <row r="316" s="162" customFormat="1" ht="20.25" customHeight="1"/>
    <row r="317" s="162" customFormat="1" ht="20.25" customHeight="1"/>
    <row r="318" s="162" customFormat="1" ht="20.25" customHeight="1"/>
    <row r="319" s="162" customFormat="1" ht="20.25" customHeight="1"/>
    <row r="320" s="162" customFormat="1" ht="20.25" customHeight="1"/>
    <row r="321" s="162" customFormat="1" ht="20.25" customHeight="1"/>
    <row r="322" s="162" customFormat="1" ht="20.25" customHeight="1"/>
    <row r="323" s="162" customFormat="1" ht="20.25" customHeight="1"/>
    <row r="324" s="162" customFormat="1" ht="20.25" customHeight="1"/>
    <row r="325" s="162" customFormat="1" ht="20.25" customHeight="1"/>
    <row r="326" s="162" customFormat="1" ht="20.25" customHeight="1"/>
    <row r="327" s="162" customFormat="1" ht="20.25" customHeight="1"/>
    <row r="328" s="162" customFormat="1" ht="20.25" customHeight="1"/>
    <row r="329" s="162" customFormat="1" ht="20.25" customHeight="1"/>
    <row r="330" s="162" customFormat="1" ht="20.25" customHeight="1"/>
    <row r="331" s="162" customFormat="1" ht="20.25" customHeight="1"/>
    <row r="332" s="162" customFormat="1" ht="20.25" customHeight="1"/>
    <row r="333" s="162" customFormat="1" ht="20.25" customHeight="1"/>
    <row r="334" s="162" customFormat="1" ht="20.25" customHeight="1"/>
    <row r="335" s="162" customFormat="1" ht="20.25" customHeight="1"/>
    <row r="336" s="162" customFormat="1" ht="20.25" customHeight="1"/>
    <row r="337" s="162" customFormat="1" ht="20.25" customHeight="1"/>
    <row r="338" s="162" customFormat="1" ht="20.25" customHeight="1"/>
    <row r="339" s="162" customFormat="1" ht="20.25" customHeight="1"/>
    <row r="340" s="162" customFormat="1" ht="20.25" customHeight="1"/>
    <row r="341" s="162" customFormat="1" ht="20.25" customHeight="1"/>
    <row r="342" s="162" customFormat="1" ht="20.25" customHeight="1"/>
    <row r="343" s="162" customFormat="1" ht="20.25" customHeight="1"/>
    <row r="344" s="162" customFormat="1" ht="20.25" customHeight="1"/>
    <row r="345" s="162" customFormat="1" ht="20.25" customHeight="1"/>
    <row r="346" s="162" customFormat="1" ht="20.25" customHeight="1"/>
    <row r="347" s="162" customFormat="1" ht="20.25" customHeight="1"/>
    <row r="348" s="162" customFormat="1" ht="20.25" customHeight="1"/>
    <row r="349" s="162" customFormat="1" ht="20.25" customHeight="1"/>
    <row r="350" s="162" customFormat="1" ht="20.25" customHeight="1"/>
    <row r="351" s="162" customFormat="1" ht="20.25" customHeight="1"/>
    <row r="352" s="162" customFormat="1" ht="20.25" customHeight="1"/>
    <row r="353" s="162" customFormat="1" ht="20.25" customHeight="1"/>
    <row r="354" s="162" customFormat="1" ht="20.25" customHeight="1"/>
    <row r="355" s="162" customFormat="1" ht="20.25" customHeight="1"/>
    <row r="356" s="162" customFormat="1" ht="20.25" customHeight="1"/>
    <row r="357" s="162" customFormat="1" ht="20.25" customHeight="1"/>
    <row r="358" s="162" customFormat="1" ht="20.25" customHeight="1"/>
    <row r="359" s="162" customFormat="1" ht="20.25" customHeight="1"/>
    <row r="360" s="162" customFormat="1" ht="20.25" customHeight="1"/>
    <row r="361" s="162" customFormat="1" ht="20.25" customHeight="1"/>
    <row r="362" s="162" customFormat="1" ht="20.25" customHeight="1"/>
    <row r="363" s="162" customFormat="1" ht="20.25" customHeight="1"/>
    <row r="364" s="162" customFormat="1" ht="20.25" customHeight="1"/>
    <row r="365" s="162" customFormat="1" ht="20.25" customHeight="1"/>
    <row r="366" s="162" customFormat="1" ht="20.25" customHeight="1"/>
    <row r="367" s="162" customFormat="1" ht="20.25" customHeight="1"/>
    <row r="368" s="162" customFormat="1" ht="20.25" customHeight="1"/>
    <row r="369" s="162" customFormat="1" ht="20.25" customHeight="1"/>
    <row r="370" s="162" customFormat="1" ht="20.25" customHeight="1"/>
    <row r="371" s="162" customFormat="1" ht="20.25" customHeight="1"/>
    <row r="372" s="162" customFormat="1" ht="20.25" customHeight="1"/>
    <row r="373" s="162" customFormat="1" ht="20.25" customHeight="1"/>
    <row r="374" s="162" customFormat="1" ht="20.25" customHeight="1"/>
    <row r="375" s="162" customFormat="1" ht="20.25" customHeight="1"/>
    <row r="376" s="162" customFormat="1" ht="20.25" customHeight="1"/>
    <row r="377" s="162" customFormat="1" ht="20.25" customHeight="1"/>
    <row r="378" s="162" customFormat="1" ht="20.25" customHeight="1"/>
    <row r="379" s="162" customFormat="1" ht="20.25" customHeight="1"/>
    <row r="380" s="162" customFormat="1" ht="20.25" customHeight="1"/>
    <row r="381" s="162" customFormat="1" ht="20.25" customHeight="1"/>
    <row r="382" s="162" customFormat="1" ht="20.25" customHeight="1"/>
    <row r="383" s="162" customFormat="1" ht="20.25" customHeight="1"/>
    <row r="384" s="162" customFormat="1" ht="20.25" customHeight="1"/>
    <row r="385" s="162" customFormat="1" ht="20.25" customHeight="1"/>
    <row r="386" s="162" customFormat="1" ht="20.25" customHeight="1"/>
    <row r="387" s="162" customFormat="1" ht="20.25" customHeight="1"/>
    <row r="388" s="162" customFormat="1" ht="20.25" customHeight="1"/>
    <row r="389" s="162" customFormat="1" ht="20.25" customHeight="1"/>
    <row r="390" s="162" customFormat="1" ht="20.25" customHeight="1"/>
    <row r="391" s="162" customFormat="1" ht="20.25" customHeight="1"/>
    <row r="392" s="162" customFormat="1" ht="20.25" customHeight="1"/>
    <row r="393" s="162" customFormat="1" ht="20.25" customHeight="1"/>
    <row r="394" s="162" customFormat="1" ht="20.25" customHeight="1"/>
    <row r="395" s="162" customFormat="1" ht="20.25" customHeight="1"/>
    <row r="396" s="162" customFormat="1" ht="20.25" customHeight="1"/>
    <row r="397" s="162" customFormat="1" ht="20.25" customHeight="1"/>
    <row r="398" s="162" customFormat="1" ht="20.25" customHeight="1"/>
    <row r="399" s="162" customFormat="1" ht="20.25" customHeight="1"/>
    <row r="400" s="162" customFormat="1" ht="20.25" customHeight="1"/>
    <row r="401" s="162" customFormat="1" ht="20.25" customHeight="1"/>
    <row r="402" s="162" customFormat="1" ht="20.25" customHeight="1"/>
    <row r="403" s="162" customFormat="1" ht="20.25" customHeight="1"/>
    <row r="404" s="162" customFormat="1" ht="20.25" customHeight="1"/>
    <row r="405" s="162" customFormat="1" ht="20.25" customHeight="1"/>
    <row r="406" s="162" customFormat="1" ht="20.25" customHeight="1"/>
    <row r="407" s="162" customFormat="1" ht="20.25" customHeight="1"/>
    <row r="408" s="162" customFormat="1" ht="20.25" customHeight="1"/>
    <row r="409" s="162" customFormat="1" ht="20.25" customHeight="1"/>
    <row r="410" s="162" customFormat="1" ht="20.25" customHeight="1"/>
    <row r="411" s="162" customFormat="1" ht="20.25" customHeight="1"/>
    <row r="412" s="162" customFormat="1" ht="20.25" customHeight="1"/>
    <row r="413" s="162" customFormat="1" ht="20.25" customHeight="1"/>
    <row r="414" s="162" customFormat="1" ht="20.25" customHeight="1"/>
    <row r="415" s="162" customFormat="1" ht="20.25" customHeight="1"/>
    <row r="416" s="162" customFormat="1" ht="20.25" customHeight="1"/>
    <row r="417" s="162" customFormat="1" ht="20.25" customHeight="1"/>
    <row r="418" s="162" customFormat="1" ht="20.25" customHeight="1"/>
    <row r="419" s="162" customFormat="1" ht="20.25" customHeight="1"/>
    <row r="420" s="162" customFormat="1" ht="20.25" customHeight="1"/>
    <row r="421" s="162" customFormat="1" ht="20.25" customHeight="1"/>
    <row r="422" s="162" customFormat="1" ht="20.25" customHeight="1"/>
    <row r="423" s="162" customFormat="1" ht="20.25" customHeight="1"/>
    <row r="424" s="162" customFormat="1" ht="20.25" customHeight="1"/>
    <row r="425" s="162" customFormat="1" ht="20.25" customHeight="1"/>
    <row r="426" s="162" customFormat="1" ht="20.25" customHeight="1"/>
    <row r="427" s="162" customFormat="1" ht="20.25" customHeight="1"/>
    <row r="428" s="162" customFormat="1" ht="20.25" customHeight="1"/>
    <row r="429" s="162" customFormat="1" ht="20.25" customHeight="1"/>
    <row r="430" s="162" customFormat="1" ht="20.25" customHeight="1"/>
    <row r="431" s="162" customFormat="1" ht="20.25" customHeight="1"/>
    <row r="432" s="162" customFormat="1" ht="20.25" customHeight="1"/>
    <row r="433" s="162" customFormat="1" ht="20.25" customHeight="1"/>
    <row r="434" s="162" customFormat="1" ht="20.25" customHeight="1"/>
    <row r="435" s="162" customFormat="1" ht="20.25" customHeight="1"/>
    <row r="436" s="162" customFormat="1" ht="20.25" customHeight="1"/>
    <row r="437" s="162" customFormat="1" ht="20.25" customHeight="1"/>
    <row r="438" s="162" customFormat="1" ht="20.25" customHeight="1"/>
    <row r="439" s="162" customFormat="1" ht="20.25" customHeight="1"/>
    <row r="440" s="162" customFormat="1" ht="20.25" customHeight="1"/>
    <row r="441" s="162" customFormat="1" ht="20.25" customHeight="1"/>
    <row r="442" s="162" customFormat="1" ht="20.25" customHeight="1"/>
    <row r="443" s="162" customFormat="1" ht="20.25" customHeight="1"/>
    <row r="444" s="162" customFormat="1" ht="20.25" customHeight="1"/>
    <row r="445" s="162" customFormat="1" ht="20.25" customHeight="1"/>
    <row r="446" s="162" customFormat="1" ht="20.25" customHeight="1"/>
    <row r="447" s="162" customFormat="1" ht="20.25" customHeight="1"/>
    <row r="448" s="162" customFormat="1" ht="20.25" customHeight="1"/>
    <row r="449" s="162" customFormat="1" ht="20.25" customHeight="1"/>
    <row r="450" s="162" customFormat="1" ht="20.25" customHeight="1"/>
    <row r="451" s="162" customFormat="1" ht="20.25" customHeight="1"/>
    <row r="452" s="162" customFormat="1" ht="20.25" customHeight="1"/>
    <row r="453" s="162" customFormat="1" ht="20.25" customHeight="1"/>
    <row r="454" s="162" customFormat="1" ht="20.25" customHeight="1"/>
    <row r="455" s="162" customFormat="1" ht="20.25" customHeight="1"/>
    <row r="456" s="162" customFormat="1" ht="20.25" customHeight="1"/>
    <row r="457" s="162" customFormat="1" ht="20.25" customHeight="1"/>
    <row r="458" s="162" customFormat="1" ht="20.25" customHeight="1"/>
    <row r="459" s="162" customFormat="1" ht="20.25" customHeight="1"/>
    <row r="460" s="162" customFormat="1" ht="20.25" customHeight="1"/>
    <row r="461" s="162" customFormat="1" ht="20.25" customHeight="1"/>
    <row r="462" s="162" customFormat="1" ht="20.25" customHeight="1"/>
    <row r="463" s="162" customFormat="1" ht="20.25" customHeight="1"/>
    <row r="464" s="162" customFormat="1" ht="20.25" customHeight="1"/>
    <row r="465" s="162" customFormat="1" ht="20.25" customHeight="1"/>
    <row r="466" s="162" customFormat="1" ht="20.25" customHeight="1"/>
    <row r="467" s="162" customFormat="1" ht="20.25" customHeight="1"/>
    <row r="468" s="162" customFormat="1" ht="20.25" customHeight="1"/>
    <row r="469" s="162" customFormat="1" ht="20.25" customHeight="1"/>
    <row r="470" s="162" customFormat="1" ht="20.25" customHeight="1"/>
    <row r="471" s="162" customFormat="1" ht="20.25" customHeight="1"/>
    <row r="472" s="162" customFormat="1" ht="20.25" customHeight="1"/>
    <row r="473" s="162" customFormat="1" ht="20.25" customHeight="1"/>
    <row r="474" s="162" customFormat="1" ht="20.25" customHeight="1"/>
    <row r="475" s="162" customFormat="1" ht="20.25" customHeight="1"/>
    <row r="476" s="162" customFormat="1" ht="20.25" customHeight="1"/>
    <row r="477" s="162" customFormat="1" ht="20.25" customHeight="1"/>
    <row r="478" s="162" customFormat="1" ht="20.25" customHeight="1"/>
    <row r="479" s="162" customFormat="1" ht="20.25" customHeight="1"/>
    <row r="480" s="162" customFormat="1" ht="20.25" customHeight="1"/>
    <row r="481" s="162" customFormat="1" ht="20.25" customHeight="1"/>
    <row r="482" s="162" customFormat="1" ht="20.25" customHeight="1"/>
    <row r="483" s="162" customFormat="1" ht="20.25" customHeight="1"/>
    <row r="484" s="162" customFormat="1" ht="20.25" customHeight="1"/>
    <row r="485" s="162" customFormat="1" ht="20.25" customHeight="1"/>
    <row r="486" s="162" customFormat="1" ht="20.25" customHeight="1"/>
    <row r="487" s="162" customFormat="1" ht="20.25" customHeight="1"/>
    <row r="488" s="162" customFormat="1" ht="20.25" customHeight="1"/>
    <row r="489" s="162" customFormat="1" ht="20.25" customHeight="1"/>
    <row r="490" s="162" customFormat="1" ht="20.25" customHeight="1"/>
    <row r="491" s="162" customFormat="1" ht="20.25" customHeight="1"/>
    <row r="492" s="162" customFormat="1" ht="20.25" customHeight="1"/>
    <row r="493" s="162" customFormat="1" ht="20.25" customHeight="1"/>
    <row r="494" s="162" customFormat="1" ht="20.25" customHeight="1"/>
    <row r="495" s="162" customFormat="1" ht="20.25" customHeight="1"/>
    <row r="496" s="162" customFormat="1" ht="20.25" customHeight="1"/>
    <row r="497" s="162" customFormat="1" ht="20.25" customHeight="1"/>
    <row r="498" s="162" customFormat="1" ht="20.25" customHeight="1"/>
    <row r="499" s="162" customFormat="1" ht="20.25" customHeight="1"/>
    <row r="500" s="162" customFormat="1" ht="20.25" customHeight="1"/>
    <row r="501" s="162" customFormat="1" ht="20.25" customHeight="1"/>
    <row r="502" s="162" customFormat="1" ht="20.25" customHeight="1"/>
    <row r="503" s="162" customFormat="1" ht="20.25" customHeight="1"/>
    <row r="504" s="162" customFormat="1" ht="20.25" customHeight="1"/>
    <row r="505" s="162" customFormat="1" ht="20.25" customHeight="1"/>
    <row r="506" s="162" customFormat="1" ht="20.25" customHeight="1"/>
    <row r="507" s="162" customFormat="1" ht="20.25" customHeight="1"/>
    <row r="508" s="162" customFormat="1" ht="20.25" customHeight="1"/>
    <row r="509" s="162" customFormat="1" ht="20.25" customHeight="1"/>
    <row r="510" s="162" customFormat="1" ht="20.25" customHeight="1"/>
    <row r="511" s="162" customFormat="1" ht="20.25" customHeight="1"/>
    <row r="512" s="162" customFormat="1" ht="20.25" customHeight="1"/>
    <row r="513" s="162" customFormat="1" ht="20.25" customHeight="1"/>
    <row r="514" s="162" customFormat="1" ht="20.25" customHeight="1"/>
    <row r="515" s="162" customFormat="1" ht="20.25" customHeight="1"/>
    <row r="516" s="162" customFormat="1" ht="20.25" customHeight="1"/>
    <row r="517" s="162" customFormat="1" ht="20.25" customHeight="1"/>
    <row r="518" s="162" customFormat="1" ht="20.25" customHeight="1"/>
    <row r="519" s="162" customFormat="1" ht="20.25" customHeight="1"/>
    <row r="520" s="162" customFormat="1" ht="20.25" customHeight="1"/>
    <row r="521" s="162" customFormat="1" ht="20.25" customHeight="1"/>
    <row r="522" s="162" customFormat="1" ht="20.25" customHeight="1"/>
    <row r="523" s="162" customFormat="1" ht="20.25" customHeight="1"/>
    <row r="524" s="162" customFormat="1" ht="20.25" customHeight="1"/>
    <row r="525" s="162" customFormat="1" ht="20.25" customHeight="1"/>
    <row r="526" s="162" customFormat="1" ht="20.25" customHeight="1"/>
    <row r="527" s="162" customFormat="1" ht="20.25" customHeight="1"/>
    <row r="528" s="162" customFormat="1" ht="20.25" customHeight="1"/>
    <row r="529" s="162" customFormat="1" ht="20.25" customHeight="1"/>
    <row r="530" s="162" customFormat="1" ht="20.25" customHeight="1"/>
    <row r="531" s="162" customFormat="1" ht="20.25" customHeight="1"/>
    <row r="532" s="162" customFormat="1" ht="20.25" customHeight="1"/>
    <row r="533" s="162" customFormat="1" ht="20.25" customHeight="1"/>
    <row r="534" s="162" customFormat="1" ht="20.25" customHeight="1"/>
    <row r="535" s="162" customFormat="1" ht="20.25" customHeight="1"/>
    <row r="536" s="162" customFormat="1" ht="20.25" customHeight="1"/>
    <row r="537" s="162" customFormat="1" ht="20.25" customHeight="1"/>
    <row r="538" s="162" customFormat="1" ht="20.25" customHeight="1"/>
    <row r="539" s="162" customFormat="1" ht="20.25" customHeight="1"/>
    <row r="540" s="162" customFormat="1" ht="20.25" customHeight="1"/>
    <row r="541" s="162" customFormat="1" ht="20.25" customHeight="1"/>
    <row r="542" s="162" customFormat="1" ht="20.25" customHeight="1"/>
    <row r="543" s="162" customFormat="1" ht="20.25" customHeight="1"/>
    <row r="544" s="162" customFormat="1" ht="20.25" customHeight="1"/>
    <row r="545" s="162" customFormat="1" ht="20.25" customHeight="1"/>
    <row r="546" s="162" customFormat="1" ht="20.25" customHeight="1"/>
    <row r="547" s="162" customFormat="1" ht="20.25" customHeight="1"/>
    <row r="548" s="162" customFormat="1" ht="20.25" customHeight="1"/>
    <row r="549" s="162" customFormat="1" ht="20.25" customHeight="1"/>
    <row r="550" s="162" customFormat="1" ht="20.25" customHeight="1"/>
    <row r="551" s="162" customFormat="1" ht="20.25" customHeight="1"/>
    <row r="552" s="162" customFormat="1" ht="20.25" customHeight="1"/>
    <row r="553" s="162" customFormat="1" ht="20.25" customHeight="1"/>
    <row r="554" s="162" customFormat="1" ht="20.25" customHeight="1"/>
    <row r="555" s="162" customFormat="1" ht="20.25" customHeight="1"/>
    <row r="556" s="162" customFormat="1" ht="20.25" customHeight="1"/>
    <row r="557" s="162" customFormat="1" ht="20.25" customHeight="1"/>
    <row r="558" s="162" customFormat="1" ht="20.25" customHeight="1"/>
    <row r="559" s="162" customFormat="1" ht="20.25" customHeight="1"/>
    <row r="560" s="162" customFormat="1" ht="20.25" customHeight="1"/>
    <row r="561" s="162" customFormat="1" ht="20.25" customHeight="1"/>
    <row r="562" s="162" customFormat="1" ht="20.25" customHeight="1"/>
    <row r="563" s="162" customFormat="1" ht="20.25" customHeight="1"/>
    <row r="564" s="162" customFormat="1" ht="20.25" customHeight="1"/>
    <row r="565" s="162" customFormat="1" ht="20.25" customHeight="1"/>
    <row r="566" s="162" customFormat="1" ht="20.25" customHeight="1"/>
    <row r="567" s="162" customFormat="1" ht="20.25" customHeight="1"/>
    <row r="568" s="162" customFormat="1" ht="20.25" customHeight="1"/>
    <row r="569" s="162" customFormat="1" ht="20.25" customHeight="1"/>
    <row r="570" s="162" customFormat="1" ht="20.25" customHeight="1"/>
    <row r="571" s="162" customFormat="1" ht="20.25" customHeight="1"/>
    <row r="572" s="162" customFormat="1" ht="20.25" customHeight="1"/>
    <row r="573" s="162" customFormat="1" ht="20.25" customHeight="1"/>
    <row r="574" s="162" customFormat="1" ht="20.25" customHeight="1"/>
    <row r="575" s="162" customFormat="1" ht="20.25" customHeight="1"/>
    <row r="576" s="162" customFormat="1" ht="20.25" customHeight="1"/>
    <row r="577" s="162" customFormat="1" ht="20.25" customHeight="1"/>
    <row r="578" s="162" customFormat="1" ht="20.25" customHeight="1"/>
    <row r="579" s="162" customFormat="1" ht="20.25" customHeight="1"/>
    <row r="580" s="162" customFormat="1" ht="20.25" customHeight="1"/>
    <row r="581" s="162" customFormat="1" ht="20.25" customHeight="1"/>
    <row r="582" s="162" customFormat="1" ht="20.25" customHeight="1"/>
    <row r="583" s="162" customFormat="1" ht="20.25" customHeight="1"/>
    <row r="584" s="162" customFormat="1" ht="20.25" customHeight="1"/>
    <row r="585" s="162" customFormat="1" ht="20.25" customHeight="1"/>
    <row r="586" s="162" customFormat="1" ht="20.25" customHeight="1"/>
    <row r="587" s="162" customFormat="1" ht="20.25" customHeight="1"/>
    <row r="588" s="162" customFormat="1" ht="20.25" customHeight="1"/>
    <row r="589" s="162" customFormat="1" ht="20.25" customHeight="1"/>
    <row r="590" s="162" customFormat="1" ht="20.25" customHeight="1"/>
    <row r="591" s="162" customFormat="1" ht="20.25" customHeight="1"/>
    <row r="592" s="162" customFormat="1" ht="20.25" customHeight="1"/>
    <row r="593" s="162" customFormat="1" ht="20.25" customHeight="1"/>
    <row r="594" s="162" customFormat="1" ht="20.25" customHeight="1"/>
    <row r="595" s="162" customFormat="1" ht="20.25" customHeight="1"/>
    <row r="596" s="162" customFormat="1" ht="20.25" customHeight="1"/>
    <row r="597" s="162" customFormat="1" ht="20.25" customHeight="1"/>
    <row r="598" s="162" customFormat="1" ht="20.25" customHeight="1"/>
    <row r="599" s="162" customFormat="1" ht="20.25" customHeight="1"/>
    <row r="600" s="162" customFormat="1" ht="20.25" customHeight="1"/>
    <row r="601" s="162" customFormat="1" ht="20.25" customHeight="1"/>
    <row r="602" s="162" customFormat="1" ht="20.25" customHeight="1"/>
    <row r="603" s="162" customFormat="1" ht="20.25" customHeight="1"/>
    <row r="604" s="162" customFormat="1" ht="20.25" customHeight="1"/>
    <row r="605" s="162" customFormat="1" ht="20.25" customHeight="1"/>
    <row r="606" s="162" customFormat="1" ht="20.25" customHeight="1"/>
    <row r="607" s="162" customFormat="1" ht="20.25" customHeight="1"/>
    <row r="608" s="162" customFormat="1" ht="20.25" customHeight="1"/>
    <row r="609" s="162" customFormat="1" ht="20.25" customHeight="1"/>
    <row r="610" s="162" customFormat="1" ht="20.25" customHeight="1"/>
    <row r="611" s="162" customFormat="1" ht="20.25" customHeight="1"/>
    <row r="612" s="162" customFormat="1" ht="20.25" customHeight="1"/>
    <row r="613" s="162" customFormat="1" ht="20.25" customHeight="1"/>
    <row r="614" s="162" customFormat="1" ht="20.25" customHeight="1"/>
    <row r="615" s="162" customFormat="1" ht="20.25" customHeight="1"/>
    <row r="616" s="162" customFormat="1" ht="20.25" customHeight="1"/>
    <row r="617" s="162" customFormat="1" ht="20.25" customHeight="1"/>
    <row r="618" s="162" customFormat="1" ht="20.25" customHeight="1"/>
    <row r="619" s="162" customFormat="1" ht="20.25" customHeight="1"/>
    <row r="620" s="162" customFormat="1" ht="20.25" customHeight="1"/>
    <row r="621" s="162" customFormat="1" ht="20.25" customHeight="1"/>
    <row r="622" s="162" customFormat="1" ht="20.25" customHeight="1"/>
    <row r="623" s="162" customFormat="1" ht="20.25" customHeight="1"/>
    <row r="624" s="162" customFormat="1" ht="20.25" customHeight="1"/>
    <row r="625" s="162" customFormat="1" ht="20.25" customHeight="1"/>
    <row r="626" s="162" customFormat="1" ht="20.25" customHeight="1"/>
    <row r="627" s="162" customFormat="1" ht="20.25" customHeight="1"/>
    <row r="628" s="162" customFormat="1" ht="20.25" customHeight="1"/>
    <row r="629" s="162" customFormat="1" ht="20.25" customHeight="1"/>
    <row r="630" s="162" customFormat="1" ht="20.25" customHeight="1"/>
    <row r="631" s="162" customFormat="1" ht="20.25" customHeight="1"/>
    <row r="632" s="162" customFormat="1" ht="20.25" customHeight="1"/>
    <row r="633" s="162" customFormat="1" ht="20.25" customHeight="1"/>
    <row r="634" s="162" customFormat="1" ht="20.25" customHeight="1"/>
    <row r="635" s="162" customFormat="1" ht="20.25" customHeight="1"/>
    <row r="636" s="162" customFormat="1" ht="20.25" customHeight="1"/>
    <row r="637" s="162" customFormat="1" ht="20.25" customHeight="1"/>
    <row r="638" s="162" customFormat="1" ht="20.25" customHeight="1"/>
    <row r="639" s="162" customFormat="1" ht="20.25" customHeight="1"/>
    <row r="640" s="162" customFormat="1" ht="20.25" customHeight="1"/>
    <row r="641" s="162" customFormat="1" ht="20.25" customHeight="1"/>
    <row r="642" s="162" customFormat="1" ht="20.25" customHeight="1"/>
    <row r="643" s="162" customFormat="1" ht="20.25" customHeight="1"/>
    <row r="644" s="162" customFormat="1" ht="20.25" customHeight="1"/>
    <row r="645" s="162" customFormat="1" ht="20.25" customHeight="1"/>
    <row r="646" s="162" customFormat="1" ht="20.25" customHeight="1"/>
    <row r="647" s="162" customFormat="1" ht="20.25" customHeight="1"/>
    <row r="648" s="162" customFormat="1" ht="20.25" customHeight="1"/>
    <row r="649" s="162" customFormat="1" ht="20.25" customHeight="1"/>
    <row r="650" s="162" customFormat="1" ht="20.25" customHeight="1"/>
    <row r="651" s="162" customFormat="1" ht="20.25" customHeight="1"/>
    <row r="652" s="162" customFormat="1" ht="20.25" customHeight="1"/>
    <row r="653" s="162" customFormat="1" ht="20.25" customHeight="1"/>
    <row r="654" s="162" customFormat="1" ht="20.25" customHeight="1"/>
    <row r="655" s="162" customFormat="1" ht="20.25" customHeight="1"/>
    <row r="656" s="162" customFormat="1" ht="20.25" customHeight="1"/>
    <row r="657" s="162" customFormat="1" ht="20.25" customHeight="1"/>
    <row r="658" s="162" customFormat="1" ht="20.25" customHeight="1"/>
    <row r="659" s="162" customFormat="1" ht="20.25" customHeight="1"/>
    <row r="660" s="162" customFormat="1" ht="20.25" customHeight="1"/>
    <row r="661" s="162" customFormat="1" ht="20.25" customHeight="1"/>
    <row r="662" s="162" customFormat="1" ht="20.25" customHeight="1"/>
    <row r="663" s="162" customFormat="1" ht="20.25" customHeight="1"/>
    <row r="664" s="162" customFormat="1" ht="20.25" customHeight="1"/>
    <row r="665" s="162" customFormat="1" ht="20.25" customHeight="1"/>
    <row r="666" s="162" customFormat="1" ht="20.25" customHeight="1"/>
    <row r="667" s="162" customFormat="1" ht="20.25" customHeight="1"/>
    <row r="668" s="162" customFormat="1" ht="20.25" customHeight="1"/>
    <row r="669" s="162" customFormat="1" ht="20.25" customHeight="1"/>
    <row r="670" s="162" customFormat="1" ht="20.25" customHeight="1"/>
    <row r="671" s="162" customFormat="1" ht="20.25" customHeight="1"/>
    <row r="672" s="162" customFormat="1" ht="20.25" customHeight="1"/>
    <row r="673" s="162" customFormat="1" ht="20.25" customHeight="1"/>
    <row r="674" s="162" customFormat="1" ht="20.25" customHeight="1"/>
    <row r="675" s="162" customFormat="1" ht="20.25" customHeight="1"/>
    <row r="676" s="162" customFormat="1" ht="20.25" customHeight="1"/>
    <row r="677" s="162" customFormat="1" ht="20.25" customHeight="1"/>
    <row r="678" s="162" customFormat="1" ht="20.25" customHeight="1"/>
    <row r="679" s="162" customFormat="1" ht="20.25" customHeight="1"/>
    <row r="680" s="162" customFormat="1" ht="20.25" customHeight="1"/>
    <row r="681" s="162" customFormat="1" ht="20.25" customHeight="1"/>
    <row r="682" s="162" customFormat="1" ht="20.25" customHeight="1"/>
    <row r="683" s="162" customFormat="1" ht="20.25" customHeight="1"/>
    <row r="684" s="162" customFormat="1" ht="20.25" customHeight="1"/>
    <row r="685" s="162" customFormat="1" ht="20.25" customHeight="1"/>
    <row r="686" s="162" customFormat="1" ht="20.25" customHeight="1"/>
    <row r="687" s="162" customFormat="1" ht="20.25" customHeight="1"/>
    <row r="688" s="162" customFormat="1" ht="20.25" customHeight="1"/>
    <row r="689" s="162" customFormat="1" ht="20.25" customHeight="1"/>
    <row r="690" s="162" customFormat="1" ht="20.25" customHeight="1"/>
    <row r="691" s="162" customFormat="1" ht="20.25" customHeight="1"/>
    <row r="692" s="162" customFormat="1" ht="20.25" customHeight="1"/>
    <row r="693" s="162" customFormat="1" ht="20.25" customHeight="1"/>
    <row r="694" s="162" customFormat="1" ht="20.25" customHeight="1"/>
    <row r="695" s="162" customFormat="1" ht="20.25" customHeight="1"/>
    <row r="696" s="162" customFormat="1" ht="20.25" customHeight="1"/>
    <row r="697" s="162" customFormat="1" ht="20.25" customHeight="1"/>
    <row r="698" s="162" customFormat="1" ht="20.25" customHeight="1"/>
    <row r="699" s="162" customFormat="1" ht="20.25" customHeight="1"/>
    <row r="700" s="162" customFormat="1" ht="20.25" customHeight="1"/>
    <row r="701" s="162" customFormat="1" ht="20.25" customHeight="1"/>
    <row r="702" s="162" customFormat="1" ht="20.25" customHeight="1"/>
    <row r="703" s="162" customFormat="1" ht="20.25" customHeight="1"/>
    <row r="704" s="162" customFormat="1" ht="20.25" customHeight="1"/>
    <row r="705" s="162" customFormat="1" ht="20.25" customHeight="1"/>
    <row r="706" s="162" customFormat="1" ht="20.25" customHeight="1"/>
    <row r="707" s="162" customFormat="1" ht="20.25" customHeight="1"/>
    <row r="708" s="162" customFormat="1" ht="20.25" customHeight="1"/>
    <row r="709" s="162" customFormat="1" ht="20.25" customHeight="1"/>
    <row r="710" s="162" customFormat="1" ht="20.25" customHeight="1"/>
    <row r="711" s="162" customFormat="1" ht="20.25" customHeight="1"/>
    <row r="712" s="162" customFormat="1" ht="20.25" customHeight="1"/>
    <row r="713" s="162" customFormat="1" ht="20.25" customHeight="1"/>
    <row r="714" s="162" customFormat="1" ht="20.25" customHeight="1"/>
    <row r="715" s="162" customFormat="1" ht="20.25" customHeight="1"/>
    <row r="716" s="162" customFormat="1" ht="20.25" customHeight="1"/>
    <row r="717" s="162" customFormat="1" ht="20.25" customHeight="1"/>
    <row r="718" s="162" customFormat="1" ht="20.25" customHeight="1"/>
    <row r="719" s="162" customFormat="1" ht="20.25" customHeight="1"/>
    <row r="720" s="162" customFormat="1" ht="20.25" customHeight="1"/>
    <row r="721" s="162" customFormat="1" ht="20.25" customHeight="1"/>
    <row r="722" s="162" customFormat="1" ht="20.25" customHeight="1"/>
    <row r="723" s="162" customFormat="1" ht="20.25" customHeight="1"/>
    <row r="724" s="162" customFormat="1" ht="20.25" customHeight="1"/>
    <row r="725" s="162" customFormat="1" ht="20.25" customHeight="1"/>
    <row r="726" s="162" customFormat="1" ht="20.25" customHeight="1"/>
    <row r="727" s="162" customFormat="1" ht="20.25" customHeight="1"/>
    <row r="728" s="162" customFormat="1" ht="20.25" customHeight="1"/>
    <row r="729" s="162" customFormat="1" ht="20.25" customHeight="1"/>
    <row r="730" s="162" customFormat="1" ht="20.25" customHeight="1"/>
    <row r="731" s="162" customFormat="1" ht="20.25" customHeight="1"/>
    <row r="732" s="162" customFormat="1" ht="20.25" customHeight="1"/>
    <row r="733" s="162" customFormat="1" ht="20.25" customHeight="1"/>
    <row r="734" s="162" customFormat="1" ht="20.25" customHeight="1"/>
    <row r="735" s="162" customFormat="1" ht="20.25" customHeight="1"/>
    <row r="736" s="162" customFormat="1" ht="20.25" customHeight="1"/>
    <row r="737" s="162" customFormat="1" ht="20.25" customHeight="1"/>
    <row r="738" s="162" customFormat="1" ht="20.25" customHeight="1"/>
    <row r="739" s="162" customFormat="1" ht="20.25" customHeight="1"/>
    <row r="740" s="162" customFormat="1" ht="20.25" customHeight="1"/>
    <row r="741" s="162" customFormat="1" ht="20.25" customHeight="1"/>
    <row r="742" s="162" customFormat="1" ht="20.25" customHeight="1"/>
    <row r="743" s="162" customFormat="1" ht="20.25" customHeight="1"/>
    <row r="744" s="162" customFormat="1" ht="20.25" customHeight="1"/>
    <row r="745" s="162" customFormat="1" ht="20.25" customHeight="1"/>
    <row r="746" s="162" customFormat="1" ht="20.25" customHeight="1"/>
    <row r="747" s="162" customFormat="1" ht="20.25" customHeight="1"/>
    <row r="748" s="162" customFormat="1" ht="20.25" customHeight="1"/>
    <row r="749" s="162" customFormat="1" ht="20.25" customHeight="1"/>
    <row r="750" s="162" customFormat="1" ht="20.25" customHeight="1"/>
    <row r="751" s="162" customFormat="1" ht="20.25" customHeight="1"/>
    <row r="752" s="162" customFormat="1" ht="20.25" customHeight="1"/>
    <row r="753" s="162" customFormat="1" ht="20.25" customHeight="1"/>
    <row r="754" s="162" customFormat="1" ht="20.25" customHeight="1"/>
    <row r="755" s="162" customFormat="1" ht="20.25" customHeight="1"/>
    <row r="756" s="162" customFormat="1" ht="20.25" customHeight="1"/>
    <row r="757" s="162" customFormat="1" ht="20.25" customHeight="1"/>
    <row r="758" s="162" customFormat="1" ht="20.25" customHeight="1"/>
    <row r="759" s="162" customFormat="1" ht="20.25" customHeight="1"/>
    <row r="760" s="162" customFormat="1" ht="20.25" customHeight="1"/>
    <row r="761" s="162" customFormat="1" ht="20.25" customHeight="1"/>
    <row r="762" s="162" customFormat="1" ht="20.25" customHeight="1"/>
    <row r="763" s="162" customFormat="1" ht="20.25" customHeight="1"/>
    <row r="764" s="162" customFormat="1" ht="20.25" customHeight="1"/>
    <row r="765" s="162" customFormat="1" ht="20.25" customHeight="1"/>
    <row r="766" s="162" customFormat="1" ht="20.25" customHeight="1"/>
    <row r="767" s="162" customFormat="1" ht="20.25" customHeight="1"/>
    <row r="768" s="162" customFormat="1" ht="20.25" customHeight="1"/>
    <row r="769" s="162" customFormat="1" ht="20.25" customHeight="1"/>
    <row r="770" s="162" customFormat="1" ht="20.25" customHeight="1"/>
    <row r="771" s="162" customFormat="1" ht="20.25" customHeight="1"/>
  </sheetData>
  <mergeCells count="35">
    <mergeCell ref="A1:N1"/>
    <mergeCell ref="A2:N2"/>
    <mergeCell ref="B4:N4"/>
    <mergeCell ref="B5:L5"/>
    <mergeCell ref="C6:E6"/>
    <mergeCell ref="G37:I37"/>
    <mergeCell ref="A38:N38"/>
    <mergeCell ref="A39:N39"/>
    <mergeCell ref="B41:N41"/>
    <mergeCell ref="B42:L42"/>
    <mergeCell ref="C43:E43"/>
    <mergeCell ref="G74:I74"/>
    <mergeCell ref="A75:N75"/>
    <mergeCell ref="A4:A7"/>
    <mergeCell ref="A41:A44"/>
    <mergeCell ref="B6:B7"/>
    <mergeCell ref="B43:B44"/>
    <mergeCell ref="F6:F7"/>
    <mergeCell ref="F43:F44"/>
    <mergeCell ref="G6:G7"/>
    <mergeCell ref="G43:G44"/>
    <mergeCell ref="H6:H7"/>
    <mergeCell ref="H43:H44"/>
    <mergeCell ref="I6:I7"/>
    <mergeCell ref="I43:I44"/>
    <mergeCell ref="J6:J7"/>
    <mergeCell ref="J43:J44"/>
    <mergeCell ref="K6:K7"/>
    <mergeCell ref="K43:K44"/>
    <mergeCell ref="L6:L7"/>
    <mergeCell ref="L43:L44"/>
    <mergeCell ref="M5:M7"/>
    <mergeCell ref="M42:M44"/>
    <mergeCell ref="N5:N7"/>
    <mergeCell ref="N42:N44"/>
  </mergeCells>
  <printOptions horizontalCentered="1"/>
  <pageMargins left="0.708661417322835" right="0.708661417322835" top="1.02362204724409" bottom="0.748031496062992" header="0.31496062992126" footer="0.31496062992126"/>
  <pageSetup paperSize="9" scale="56" orientation="landscape"/>
  <headerFooter alignWithMargins="0" differentFirst="1">
    <oddFooter>&amp;C&amp;"Arial Narrow,常规" &amp;P</oddFooter>
    <evenFooter>&amp;C4-2</evenFooter>
    <firstFooter>&amp;C&amp;"Arial Narrow,常规"7</firstFooter>
  </headerFooter>
  <rowBreaks count="1" manualBreakCount="1">
    <brk id="3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L54"/>
  <sheetViews>
    <sheetView showZeros="0" tabSelected="1" view="pageBreakPreview" zoomScale="85" zoomScaleNormal="100" topLeftCell="A9" workbookViewId="0">
      <selection activeCell="G23" sqref="G23"/>
    </sheetView>
  </sheetViews>
  <sheetFormatPr defaultColWidth="9" defaultRowHeight="13.1" customHeight="1"/>
  <cols>
    <col min="1" max="1" width="23.5" style="82" customWidth="1"/>
    <col min="2" max="2" width="15.7833333333333" style="82" customWidth="1"/>
    <col min="3" max="3" width="16.7083333333333" style="82" customWidth="1"/>
    <col min="4" max="4" width="17.0666666666667" style="82" customWidth="1"/>
    <col min="5" max="5" width="23.5" style="114" customWidth="1"/>
    <col min="6" max="6" width="13.2083333333333" style="115" customWidth="1"/>
    <col min="7" max="7" width="16.7083333333333" style="115" customWidth="1"/>
    <col min="8" max="8" width="18.7833333333333" style="115" customWidth="1"/>
    <col min="9" max="9" width="11.7083333333333" style="82" customWidth="1"/>
    <col min="10" max="10" width="12.8583333333333" style="82" customWidth="1"/>
    <col min="11" max="16384" width="9" style="82"/>
  </cols>
  <sheetData>
    <row r="1" s="111" customFormat="1" ht="26.25" customHeight="1" spans="1:8">
      <c r="A1" s="86" t="s">
        <v>298</v>
      </c>
      <c r="B1" s="86"/>
      <c r="C1" s="86"/>
      <c r="D1" s="86"/>
      <c r="E1" s="86"/>
      <c r="F1" s="86"/>
      <c r="G1" s="86"/>
      <c r="H1" s="86"/>
    </row>
    <row r="2" s="111" customFormat="1" ht="18" customHeight="1" spans="1:8">
      <c r="A2" s="116">
        <f>合并资产负债表!A2</f>
        <v>45838</v>
      </c>
      <c r="B2" s="116"/>
      <c r="C2" s="116"/>
      <c r="D2" s="116"/>
      <c r="E2" s="116"/>
      <c r="F2" s="116"/>
      <c r="G2" s="116"/>
      <c r="H2" s="116"/>
    </row>
    <row r="3" s="112" customFormat="1" ht="18" customHeight="1" spans="1:8">
      <c r="A3" s="48" t="str">
        <f>合并资产负债表!A3</f>
        <v>编制单位：平阳县国诚控股有限公司</v>
      </c>
      <c r="B3" s="117"/>
      <c r="C3" s="117"/>
      <c r="D3" s="118"/>
      <c r="E3" s="119"/>
      <c r="F3" s="120"/>
      <c r="G3" s="120"/>
      <c r="H3" s="52" t="s">
        <v>134</v>
      </c>
    </row>
    <row r="4" s="113" customFormat="1" ht="27.45" customHeight="1" spans="1:8">
      <c r="A4" s="53" t="s">
        <v>299</v>
      </c>
      <c r="B4" s="54" t="s">
        <v>4</v>
      </c>
      <c r="C4" s="121" t="str">
        <f>合并资产负债表!C4</f>
        <v>本年金额</v>
      </c>
      <c r="D4" s="121" t="str">
        <f>合并资产负债表!D4</f>
        <v>上年金额</v>
      </c>
      <c r="E4" s="122" t="s">
        <v>300</v>
      </c>
      <c r="F4" s="123" t="s">
        <v>4</v>
      </c>
      <c r="G4" s="121" t="str">
        <f>合并资产负债表!G4</f>
        <v>本年金额</v>
      </c>
      <c r="H4" s="124" t="str">
        <f>合并资产负债表!H4</f>
        <v>上年金额</v>
      </c>
    </row>
    <row r="5" ht="27.45" customHeight="1" spans="1:8">
      <c r="A5" s="125" t="s">
        <v>7</v>
      </c>
      <c r="B5" s="64"/>
      <c r="C5" s="126"/>
      <c r="D5" s="126"/>
      <c r="E5" s="127" t="s">
        <v>8</v>
      </c>
      <c r="F5" s="128"/>
      <c r="G5" s="129"/>
      <c r="H5" s="130"/>
    </row>
    <row r="6" ht="27.45" customHeight="1" spans="1:8">
      <c r="A6" s="93" t="s">
        <v>9</v>
      </c>
      <c r="B6" s="64"/>
      <c r="C6" s="126">
        <f>IFERROR(VLOOKUP("*"&amp;A6&amp;"*",[5]资产负债表!$A$7:$C$48,3,0),0)</f>
        <v>351990747.4</v>
      </c>
      <c r="D6" s="126">
        <f>[6]资产负债表!C6</f>
        <v>2090972.98</v>
      </c>
      <c r="E6" s="128" t="s">
        <v>301</v>
      </c>
      <c r="F6" s="128"/>
      <c r="G6" s="70">
        <f>IFERROR(VLOOKUP("*"&amp;E6&amp;"*",[5]资产负债表!$F$6:$H$47,3,0),0)</f>
        <v>1001512387.5</v>
      </c>
      <c r="H6" s="99">
        <f>[6]资产负债表!G6</f>
        <v>300412500</v>
      </c>
    </row>
    <row r="7" ht="27.45" customHeight="1" spans="1:8">
      <c r="A7" s="93" t="s">
        <v>13</v>
      </c>
      <c r="B7" s="64"/>
      <c r="C7" s="126">
        <f>IFERROR(VLOOKUP("*"&amp;A7&amp;"*",[5]资产负债表!$A$7:$C$48,3,0),0)</f>
        <v>0</v>
      </c>
      <c r="D7" s="126">
        <f>[6]资产负债表!C7</f>
        <v>0</v>
      </c>
      <c r="E7" s="131" t="s">
        <v>302</v>
      </c>
      <c r="F7" s="64"/>
      <c r="G7" s="70">
        <f>IFERROR(VLOOKUP("*"&amp;E7&amp;"*",[5]资产负债表!$F$6:$H$47,3,0),0)</f>
        <v>0</v>
      </c>
      <c r="H7" s="99">
        <f>[6]资产负债表!G7</f>
        <v>0</v>
      </c>
    </row>
    <row r="8" ht="27.45" customHeight="1" spans="1:8">
      <c r="A8" s="93" t="s">
        <v>15</v>
      </c>
      <c r="B8" s="64"/>
      <c r="C8" s="126">
        <f>IFERROR(VLOOKUP("*"&amp;A8&amp;"*",[5]资产负债表!$A$7:$C$48,3,0),0)</f>
        <v>0</v>
      </c>
      <c r="D8" s="126">
        <f>[6]资产负债表!C8</f>
        <v>0</v>
      </c>
      <c r="E8" s="132" t="s">
        <v>16</v>
      </c>
      <c r="F8" s="64"/>
      <c r="G8" s="70">
        <f>IFERROR(VLOOKUP("*"&amp;E8&amp;"*",[5]资产负债表!$F$6:$H$47,3,0),0)</f>
        <v>0</v>
      </c>
      <c r="H8" s="99">
        <f>[6]资产负债表!G8</f>
        <v>0</v>
      </c>
    </row>
    <row r="9" ht="27.45" customHeight="1" spans="1:8">
      <c r="A9" s="93" t="s">
        <v>17</v>
      </c>
      <c r="B9" s="64"/>
      <c r="C9" s="126">
        <f>IFERROR(VLOOKUP("*"&amp;A9&amp;"*",[5]资产负债表!$A$7:$C$48,3,0),0)</f>
        <v>0</v>
      </c>
      <c r="D9" s="126">
        <f>[6]资产负债表!C9</f>
        <v>0</v>
      </c>
      <c r="E9" s="131" t="s">
        <v>303</v>
      </c>
      <c r="F9" s="128"/>
      <c r="G9" s="70">
        <f>IFERROR(VLOOKUP("*"&amp;E9&amp;"*",[5]资产负债表!$F$6:$H$47,3,0),0)</f>
        <v>0</v>
      </c>
      <c r="H9" s="99">
        <f>[6]资产负债表!G9</f>
        <v>0</v>
      </c>
    </row>
    <row r="10" ht="27.45" customHeight="1" spans="1:8">
      <c r="A10" s="93" t="s">
        <v>20</v>
      </c>
      <c r="B10" s="64"/>
      <c r="C10" s="126">
        <f>IFERROR(VLOOKUP("*"&amp;A10&amp;"*",[5]资产负债表!$A$7:$C$48,3,0),0)</f>
        <v>0</v>
      </c>
      <c r="D10" s="126">
        <f>[6]资产负债表!C10</f>
        <v>0</v>
      </c>
      <c r="E10" s="131" t="s">
        <v>304</v>
      </c>
      <c r="F10" s="128"/>
      <c r="G10" s="70">
        <f>IFERROR(VLOOKUP("*"&amp;E10&amp;"*",[5]资产负债表!$F$6:$H$47,3,0),0)</f>
        <v>0</v>
      </c>
      <c r="H10" s="99">
        <f>[6]资产负债表!G10</f>
        <v>0</v>
      </c>
    </row>
    <row r="11" ht="27.45" customHeight="1" spans="1:8">
      <c r="A11" s="93" t="s">
        <v>24</v>
      </c>
      <c r="B11" s="64"/>
      <c r="C11" s="126">
        <f>IFERROR(VLOOKUP("*"&amp;A11&amp;"*",[5]资产负债表!$A$7:$C$48,3,0),0)</f>
        <v>0</v>
      </c>
      <c r="D11" s="126">
        <f>[6]资产负债表!C11</f>
        <v>0</v>
      </c>
      <c r="E11" s="131" t="s">
        <v>305</v>
      </c>
      <c r="F11" s="128"/>
      <c r="G11" s="70">
        <f>IFERROR(VLOOKUP("*"&amp;E11&amp;"*",[5]资产负债表!$F$6:$H$47,3,0),0)</f>
        <v>0</v>
      </c>
      <c r="H11" s="99">
        <f>[6]资产负债表!G11</f>
        <v>0</v>
      </c>
    </row>
    <row r="12" ht="27.45" customHeight="1" spans="1:8">
      <c r="A12" s="93" t="s">
        <v>27</v>
      </c>
      <c r="B12" s="64"/>
      <c r="C12" s="126">
        <f>IFERROR(VLOOKUP("*"&amp;A12&amp;"*",[5]资产负债表!$A$7:$C$48,3,0),0)</f>
        <v>0</v>
      </c>
      <c r="D12" s="126">
        <f>[6]资产负债表!C12</f>
        <v>0</v>
      </c>
      <c r="E12" s="133" t="s">
        <v>29</v>
      </c>
      <c r="F12" s="134"/>
      <c r="G12" s="70">
        <f>IFERROR(VLOOKUP("*"&amp;E12&amp;"*",[5]资产负债表!$F$6:$H$47,3,0),0)</f>
        <v>0</v>
      </c>
      <c r="H12" s="99">
        <f>[6]资产负债表!G12</f>
        <v>0</v>
      </c>
    </row>
    <row r="13" ht="27.45" customHeight="1" spans="1:8">
      <c r="A13" s="93" t="s">
        <v>31</v>
      </c>
      <c r="B13" s="89" t="s">
        <v>306</v>
      </c>
      <c r="C13" s="126">
        <f>IFERROR(VLOOKUP("*"&amp;A13&amp;"*",[5]资产负债表!$A$7:$C$48,3,0),0)</f>
        <v>6253570464.74</v>
      </c>
      <c r="D13" s="126">
        <f>[6]资产负债表!C13</f>
        <v>4550427312.83</v>
      </c>
      <c r="E13" s="131" t="s">
        <v>307</v>
      </c>
      <c r="F13" s="128"/>
      <c r="G13" s="70">
        <f>IFERROR(VLOOKUP("*"&amp;E13&amp;"*",[5]资产负债表!$F$6:$H$47,3,0),0)</f>
        <v>0</v>
      </c>
      <c r="H13" s="99">
        <f>[6]资产负债表!G13</f>
        <v>0</v>
      </c>
    </row>
    <row r="14" ht="27.45" customHeight="1" spans="1:8">
      <c r="A14" s="135" t="s">
        <v>35</v>
      </c>
      <c r="B14" s="64"/>
      <c r="C14" s="126">
        <f>IFERROR(VLOOKUP("*"&amp;A14&amp;"*",[5]资产负债表!$A$7:$C$48,3,0),0)</f>
        <v>0</v>
      </c>
      <c r="D14" s="126">
        <f>[6]资产负债表!C14</f>
        <v>0</v>
      </c>
      <c r="E14" s="131" t="s">
        <v>308</v>
      </c>
      <c r="F14" s="128"/>
      <c r="G14" s="70">
        <f>IFERROR(VLOOKUP("*"&amp;E14&amp;"*",[5]资产负债表!$F$6:$H$47,3,0),0)</f>
        <v>0</v>
      </c>
      <c r="H14" s="99">
        <f>[6]资产负债表!G14</f>
        <v>0</v>
      </c>
    </row>
    <row r="15" ht="27.45" customHeight="1" spans="1:8">
      <c r="A15" s="135" t="s">
        <v>38</v>
      </c>
      <c r="B15" s="64"/>
      <c r="C15" s="126">
        <f>IFERROR(VLOOKUP("*"&amp;A15&amp;"*",[5]资产负债表!$A$7:$C$48,3,0),0)</f>
        <v>0</v>
      </c>
      <c r="D15" s="126">
        <f>[6]资产负债表!C15</f>
        <v>0</v>
      </c>
      <c r="E15" s="131" t="s">
        <v>309</v>
      </c>
      <c r="F15" s="128"/>
      <c r="G15" s="70">
        <f>IFERROR(VLOOKUP("*"&amp;E15&amp;"*",[5]资产负债表!$F$6:$H$47,3,0),0)</f>
        <v>73000000</v>
      </c>
      <c r="H15" s="99">
        <f>[6]资产负债表!G15</f>
        <v>43000000</v>
      </c>
    </row>
    <row r="16" ht="27.45" customHeight="1" spans="1:8">
      <c r="A16" s="93" t="s">
        <v>41</v>
      </c>
      <c r="B16" s="64"/>
      <c r="C16" s="126">
        <f>IFERROR(VLOOKUP("*"&amp;A16&amp;"*",[5]资产负债表!$A$7:$C$48,3,0),0)</f>
        <v>78053738.9</v>
      </c>
      <c r="D16" s="126">
        <f>[6]资产负债表!C16</f>
        <v>0</v>
      </c>
      <c r="E16" s="136" t="s">
        <v>43</v>
      </c>
      <c r="F16" s="128"/>
      <c r="G16" s="70">
        <f>IFERROR(VLOOKUP("*"&amp;E16&amp;"*",[5]资产负债表!$F$6:$H$47,3,0),0)</f>
        <v>0</v>
      </c>
      <c r="H16" s="99">
        <f>[6]资产负债表!G16</f>
        <v>0</v>
      </c>
    </row>
    <row r="17" ht="27.45" customHeight="1" spans="1:8">
      <c r="A17" s="137" t="s">
        <v>44</v>
      </c>
      <c r="B17" s="134"/>
      <c r="C17" s="126">
        <f>IFERROR(VLOOKUP("*"&amp;A17&amp;"*",[5]资产负债表!$A$7:$C$48,3,0),0)</f>
        <v>0</v>
      </c>
      <c r="D17" s="126">
        <f>[6]资产负债表!C17</f>
        <v>0</v>
      </c>
      <c r="E17" s="136" t="s">
        <v>45</v>
      </c>
      <c r="F17" s="128"/>
      <c r="G17" s="70">
        <f>IFERROR(VLOOKUP("*"&amp;E17&amp;"*",[5]资产负债表!$F$6:$H$47,3,0),0)</f>
        <v>0</v>
      </c>
      <c r="H17" s="99">
        <f>[6]资产负债表!G17</f>
        <v>0</v>
      </c>
    </row>
    <row r="18" ht="27.45" customHeight="1" spans="1:8">
      <c r="A18" s="93" t="s">
        <v>46</v>
      </c>
      <c r="B18" s="64"/>
      <c r="C18" s="126">
        <f>IFERROR(VLOOKUP("*"&amp;A18&amp;"*",[5]资产负债表!$A$7:$C$48,3,0),0)</f>
        <v>0</v>
      </c>
      <c r="D18" s="126">
        <f>[6]资产负债表!C18</f>
        <v>0</v>
      </c>
      <c r="E18" s="131" t="s">
        <v>310</v>
      </c>
      <c r="F18" s="128"/>
      <c r="G18" s="70">
        <f>IFERROR(VLOOKUP("*"&amp;E18&amp;"*",[5]资产负债表!$F$6:$H$47,3,0),0)</f>
        <v>0</v>
      </c>
      <c r="H18" s="99">
        <f>[6]资产负债表!G18</f>
        <v>0</v>
      </c>
    </row>
    <row r="19" ht="27.45" customHeight="1" spans="1:8">
      <c r="A19" s="93" t="s">
        <v>48</v>
      </c>
      <c r="B19" s="64"/>
      <c r="C19" s="126">
        <f>IFERROR(VLOOKUP("*"&amp;A19&amp;"*",[5]资产负债表!$A$7:$C$48,3,0),0)</f>
        <v>0</v>
      </c>
      <c r="D19" s="126">
        <f>[6]资产负债表!C19</f>
        <v>0</v>
      </c>
      <c r="E19" s="131" t="s">
        <v>311</v>
      </c>
      <c r="F19" s="128"/>
      <c r="G19" s="70">
        <f>IFERROR(VLOOKUP("*"&amp;E19&amp;"*",[5]资产负债表!$F$6:$H$47,3,0),0)</f>
        <v>7515217.6</v>
      </c>
      <c r="H19" s="99">
        <f>[6]资产负债表!G19</f>
        <v>156615067.08</v>
      </c>
    </row>
    <row r="20" ht="27.45" customHeight="1" spans="1:8">
      <c r="A20" s="93" t="s">
        <v>51</v>
      </c>
      <c r="B20" s="64"/>
      <c r="C20" s="126">
        <f>IFERROR(VLOOKUP("*"&amp;A20&amp;"*",[5]资产负债表!$A$7:$C$48,3,0),0)</f>
        <v>0</v>
      </c>
      <c r="D20" s="126">
        <f>[6]资产负债表!C20</f>
        <v>0</v>
      </c>
      <c r="E20" s="131" t="s">
        <v>312</v>
      </c>
      <c r="F20" s="128"/>
      <c r="G20" s="70">
        <f>IFERROR(VLOOKUP("*"&amp;E20&amp;"*",[5]资产负债表!$F$6:$H$47,3,0),0)</f>
        <v>0</v>
      </c>
      <c r="H20" s="99">
        <f>[6]资产负债表!G20</f>
        <v>0</v>
      </c>
    </row>
    <row r="21" ht="27.45" customHeight="1" spans="1:10">
      <c r="A21" s="125" t="s">
        <v>313</v>
      </c>
      <c r="B21" s="64"/>
      <c r="C21" s="94">
        <f>SUM(C6:C20)-C14-C15</f>
        <v>6683614951.04</v>
      </c>
      <c r="D21" s="94">
        <f>SUM(D6:D20)-D14-D15</f>
        <v>4552518285.81</v>
      </c>
      <c r="E21" s="138" t="s">
        <v>56</v>
      </c>
      <c r="F21" s="128"/>
      <c r="G21" s="139">
        <f>SUM(G6:G20)-G16-G17</f>
        <v>1082027605.1</v>
      </c>
      <c r="H21" s="140">
        <f>SUM(H6:H20)-H16-H17</f>
        <v>500027567.08</v>
      </c>
      <c r="J21" s="157"/>
    </row>
    <row r="22" ht="27.45" customHeight="1" spans="1:8">
      <c r="A22" s="125" t="s">
        <v>57</v>
      </c>
      <c r="B22" s="64"/>
      <c r="C22" s="126"/>
      <c r="D22" s="126"/>
      <c r="E22" s="141" t="s">
        <v>58</v>
      </c>
      <c r="F22" s="127"/>
      <c r="G22" s="129"/>
      <c r="H22" s="130"/>
    </row>
    <row r="23" s="84" customFormat="1" ht="27.45" customHeight="1" spans="1:8">
      <c r="A23" s="93" t="s">
        <v>59</v>
      </c>
      <c r="B23" s="64"/>
      <c r="C23" s="126">
        <f>IFERROR(VLOOKUP("*"&amp;A23&amp;"*",[5]资产负债表!$A$7:$C$48,3,0),0)</f>
        <v>0</v>
      </c>
      <c r="D23" s="126">
        <f>[6]资产负债表!C23</f>
        <v>0</v>
      </c>
      <c r="E23" s="131" t="s">
        <v>314</v>
      </c>
      <c r="F23" s="128"/>
      <c r="G23" s="70">
        <f>IFERROR(VLOOKUP("*"&amp;E23&amp;"*",[5]资产负债表!$F$6:$H$47,3,0),0)</f>
        <v>884100000</v>
      </c>
      <c r="H23" s="99">
        <f>[6]资产负债表!G23</f>
        <v>292500000</v>
      </c>
    </row>
    <row r="24" s="84" customFormat="1" ht="27.45" customHeight="1" spans="1:8">
      <c r="A24" s="93" t="s">
        <v>62</v>
      </c>
      <c r="B24" s="58"/>
      <c r="C24" s="126">
        <f>IFERROR(VLOOKUP("*"&amp;A24&amp;"*",[5]资产负债表!$A$7:$C$48,3,0),0)</f>
        <v>0</v>
      </c>
      <c r="D24" s="126">
        <f>[6]资产负债表!C24</f>
        <v>0</v>
      </c>
      <c r="E24" s="128" t="s">
        <v>315</v>
      </c>
      <c r="F24" s="128"/>
      <c r="G24" s="70">
        <f>IFERROR(VLOOKUP("*"&amp;E24&amp;"*",[5]资产负债表!$F$6:$H$47,3,0),0)</f>
        <v>4745585250</v>
      </c>
      <c r="H24" s="99">
        <f>[6]资产负债表!G24</f>
        <v>3773382750</v>
      </c>
    </row>
    <row r="25" ht="27.45" customHeight="1" spans="1:8">
      <c r="A25" s="93" t="s">
        <v>65</v>
      </c>
      <c r="B25" s="64"/>
      <c r="C25" s="126">
        <f>IFERROR(VLOOKUP("*"&amp;A25&amp;"*",[5]资产负债表!$A$7:$C$48,3,0),0)</f>
        <v>3511000</v>
      </c>
      <c r="D25" s="126">
        <f>[6]资产负债表!C25</f>
        <v>3000000</v>
      </c>
      <c r="E25" s="128" t="s">
        <v>108</v>
      </c>
      <c r="F25" s="128"/>
      <c r="G25" s="70">
        <f>IFERROR(VLOOKUP("*"&amp;E25&amp;"*",[5]资产负债表!$F$6:$H$47,3,0),0)</f>
        <v>0</v>
      </c>
      <c r="H25" s="99">
        <f>[6]资产负债表!G25</f>
        <v>0</v>
      </c>
    </row>
    <row r="26" ht="27.45" customHeight="1" spans="1:8">
      <c r="A26" s="93" t="s">
        <v>68</v>
      </c>
      <c r="B26" s="89" t="s">
        <v>316</v>
      </c>
      <c r="C26" s="126">
        <f>IFERROR(VLOOKUP("*"&amp;A26&amp;"*",[5]资产负债表!$A$7:$C$48,3,0),0)</f>
        <v>23722029220.13</v>
      </c>
      <c r="D26" s="126">
        <f>[6]资产负债表!C26</f>
        <v>23722029220.13</v>
      </c>
      <c r="E26" s="131" t="s">
        <v>111</v>
      </c>
      <c r="F26" s="128"/>
      <c r="G26" s="70">
        <f>IFERROR(VLOOKUP("*"&amp;E26&amp;"*",[5]资产负债表!$F$6:$H$47,3,0),0)</f>
        <v>0</v>
      </c>
      <c r="H26" s="99">
        <f>[6]资产负债表!G26</f>
        <v>0</v>
      </c>
    </row>
    <row r="27" ht="27.45" customHeight="1" spans="1:8">
      <c r="A27" s="93" t="s">
        <v>71</v>
      </c>
      <c r="B27" s="64"/>
      <c r="C27" s="126">
        <f>IFERROR(VLOOKUP("*"&amp;A27&amp;"*",[5]资产负债表!$A$7:$C$48,3,0),0)</f>
        <v>0</v>
      </c>
      <c r="D27" s="126">
        <f>[6]资产负债表!C27</f>
        <v>0</v>
      </c>
      <c r="E27" s="142" t="s">
        <v>73</v>
      </c>
      <c r="F27" s="143"/>
      <c r="G27" s="70">
        <f>IFERROR(VLOOKUP("*"&amp;E27&amp;"*",[5]资产负债表!$F$6:$H$47,3,0),0)</f>
        <v>0</v>
      </c>
      <c r="H27" s="99">
        <f>[6]资产负债表!G27</f>
        <v>0</v>
      </c>
    </row>
    <row r="28" ht="27.45" customHeight="1" spans="1:8">
      <c r="A28" s="93" t="s">
        <v>75</v>
      </c>
      <c r="B28" s="64"/>
      <c r="C28" s="126">
        <f>IFERROR(VLOOKUP("*"&amp;A28&amp;"*",[5]资产负债表!$A$7:$C$48,3,0),0)</f>
        <v>0</v>
      </c>
      <c r="D28" s="126">
        <f>[6]资产负债表!C28</f>
        <v>0</v>
      </c>
      <c r="E28" s="131" t="s">
        <v>317</v>
      </c>
      <c r="F28" s="144"/>
      <c r="G28" s="70">
        <f>IFERROR(VLOOKUP("*"&amp;E28&amp;"*",[5]资产负债表!$F$6:$H$47,3,0),0)</f>
        <v>0</v>
      </c>
      <c r="H28" s="99">
        <f>[6]资产负债表!G28</f>
        <v>0</v>
      </c>
    </row>
    <row r="29" ht="27.45" customHeight="1" spans="1:10">
      <c r="A29" s="93" t="s">
        <v>78</v>
      </c>
      <c r="B29" s="64"/>
      <c r="C29" s="126">
        <f>IFERROR(VLOOKUP("*"&amp;A29&amp;"*",[5]资产负债表!$A$7:$C$48,3,0),0)</f>
        <v>0</v>
      </c>
      <c r="D29" s="126">
        <f>[6]资产负债表!C29</f>
        <v>0</v>
      </c>
      <c r="E29" s="131" t="s">
        <v>318</v>
      </c>
      <c r="F29" s="128"/>
      <c r="G29" s="70">
        <f>IFERROR(VLOOKUP("*"&amp;E29&amp;"*",[5]资产负债表!$F$6:$H$47,3,0),0)</f>
        <v>0</v>
      </c>
      <c r="H29" s="99">
        <f>[6]资产负债表!G29</f>
        <v>0</v>
      </c>
      <c r="J29" s="158"/>
    </row>
    <row r="30" ht="27.45" customHeight="1" spans="1:10">
      <c r="A30" s="93" t="s">
        <v>81</v>
      </c>
      <c r="B30" s="64"/>
      <c r="C30" s="126">
        <f>IFERROR(VLOOKUP("*"&amp;A30&amp;"*",[5]资产负债表!$A$7:$C$48,3,0),0)</f>
        <v>0</v>
      </c>
      <c r="D30" s="126">
        <f>[6]资产负债表!C30</f>
        <v>0</v>
      </c>
      <c r="E30" s="131" t="s">
        <v>319</v>
      </c>
      <c r="F30" s="128"/>
      <c r="G30" s="70">
        <f>IFERROR(VLOOKUP("*"&amp;E30&amp;"*",[5]资产负债表!$F$6:$H$47,3,0),0)</f>
        <v>0</v>
      </c>
      <c r="H30" s="99">
        <f>[6]资产负债表!G30</f>
        <v>0</v>
      </c>
      <c r="I30" s="157"/>
      <c r="J30" s="159"/>
    </row>
    <row r="31" ht="27.45" customHeight="1" spans="1:10">
      <c r="A31" s="93" t="s">
        <v>84</v>
      </c>
      <c r="B31" s="64"/>
      <c r="C31" s="126">
        <f>IFERROR(VLOOKUP("*"&amp;A31&amp;"*",[5]资产负债表!$A$7:$C$48,3,0),0)</f>
        <v>0</v>
      </c>
      <c r="D31" s="126">
        <f>[6]资产负债表!C31</f>
        <v>0</v>
      </c>
      <c r="E31" s="131" t="s">
        <v>320</v>
      </c>
      <c r="F31" s="128"/>
      <c r="G31" s="70">
        <f>IFERROR(VLOOKUP("*"&amp;E31&amp;"*",[5]资产负债表!$F$6:$H$47,3,0),0)</f>
        <v>0</v>
      </c>
      <c r="H31" s="99">
        <f>[6]资产负债表!G31</f>
        <v>0</v>
      </c>
      <c r="I31" s="157"/>
      <c r="J31" s="159"/>
    </row>
    <row r="32" ht="27.45" customHeight="1" spans="1:10">
      <c r="A32" s="93" t="s">
        <v>88</v>
      </c>
      <c r="B32" s="64"/>
      <c r="C32" s="126">
        <f>IFERROR(VLOOKUP("*"&amp;A32&amp;"*",[5]资产负债表!$A$7:$C$48,3,0),0)</f>
        <v>0</v>
      </c>
      <c r="D32" s="126">
        <f>[6]资产负债表!C32</f>
        <v>0</v>
      </c>
      <c r="E32" s="131" t="s">
        <v>321</v>
      </c>
      <c r="F32" s="128"/>
      <c r="G32" s="70">
        <f>IFERROR(VLOOKUP("*"&amp;E32&amp;"*",[5]资产负债表!$F$6:$H$47,3,0),0)</f>
        <v>0</v>
      </c>
      <c r="H32" s="99">
        <f>[6]资产负债表!G32</f>
        <v>0</v>
      </c>
      <c r="I32" s="157"/>
      <c r="J32" s="159"/>
    </row>
    <row r="33" ht="27.45" customHeight="1" spans="1:10">
      <c r="A33" s="93" t="s">
        <v>91</v>
      </c>
      <c r="B33" s="64"/>
      <c r="C33" s="126">
        <f>IFERROR(VLOOKUP("*"&amp;A33&amp;"*",[5]资产负债表!$A$7:$C$48,3,0),0)</f>
        <v>0</v>
      </c>
      <c r="D33" s="126">
        <f>[6]资产负债表!C33</f>
        <v>0</v>
      </c>
      <c r="E33" s="136" t="s">
        <v>92</v>
      </c>
      <c r="F33" s="128"/>
      <c r="G33" s="70">
        <f>IFERROR(VLOOKUP("*"&amp;E33&amp;"*",[5]资产负债表!$F$6:$H$47,3,0),0)</f>
        <v>0</v>
      </c>
      <c r="H33" s="99">
        <f>[6]资产负债表!G33</f>
        <v>0</v>
      </c>
      <c r="I33" s="157"/>
      <c r="J33" s="159"/>
    </row>
    <row r="34" ht="27.45" customHeight="1" spans="1:10">
      <c r="A34" s="145" t="s">
        <v>93</v>
      </c>
      <c r="B34" s="146"/>
      <c r="C34" s="126">
        <f>IFERROR(VLOOKUP("*"&amp;A34&amp;"*",[5]资产负债表!$A$7:$C$48,3,0),0)</f>
        <v>0</v>
      </c>
      <c r="D34" s="126">
        <f>[6]资产负债表!C34</f>
        <v>0</v>
      </c>
      <c r="E34" s="138" t="s">
        <v>95</v>
      </c>
      <c r="F34" s="128"/>
      <c r="G34" s="139">
        <f>SUM(G23:G33)-G25-G26</f>
        <v>5629685250</v>
      </c>
      <c r="H34" s="140">
        <f>SUM(H23:H33)-H25-H26</f>
        <v>4065882750</v>
      </c>
      <c r="I34" s="157"/>
      <c r="J34" s="159"/>
    </row>
    <row r="35" ht="27.45" customHeight="1" spans="1:8">
      <c r="A35" s="93" t="s">
        <v>96</v>
      </c>
      <c r="B35" s="64"/>
      <c r="C35" s="126">
        <f>IFERROR(VLOOKUP("*"&amp;A35&amp;"*",[5]资产负债表!$A$7:$C$48,3,0),0)</f>
        <v>0</v>
      </c>
      <c r="D35" s="126">
        <f>[6]资产负债表!C35</f>
        <v>0</v>
      </c>
      <c r="E35" s="138" t="s">
        <v>98</v>
      </c>
      <c r="F35" s="128"/>
      <c r="G35" s="139">
        <f>G21+G34</f>
        <v>6711712855.1</v>
      </c>
      <c r="H35" s="140">
        <f>H21+H34</f>
        <v>4565910317.08</v>
      </c>
    </row>
    <row r="36" ht="27.45" customHeight="1" spans="1:8">
      <c r="A36" s="93" t="s">
        <v>99</v>
      </c>
      <c r="B36" s="64"/>
      <c r="C36" s="126">
        <f>IFERROR(VLOOKUP("*"&amp;A36&amp;"*",[5]资产负债表!$A$7:$C$48,3,0),0)</f>
        <v>0</v>
      </c>
      <c r="D36" s="126">
        <f>[6]资产负债表!C36</f>
        <v>0</v>
      </c>
      <c r="E36" s="141" t="s">
        <v>100</v>
      </c>
      <c r="F36" s="128"/>
      <c r="G36" s="129"/>
      <c r="H36" s="130"/>
    </row>
    <row r="37" ht="27.45" customHeight="1" spans="1:8">
      <c r="A37" s="93" t="s">
        <v>101</v>
      </c>
      <c r="B37" s="64"/>
      <c r="C37" s="126">
        <f>IFERROR(VLOOKUP("*"&amp;A37&amp;"*",[5]资产负债表!$A$7:$C$48,3,0),0)</f>
        <v>0</v>
      </c>
      <c r="D37" s="126">
        <f>[6]资产负债表!C37</f>
        <v>0</v>
      </c>
      <c r="E37" s="131" t="s">
        <v>322</v>
      </c>
      <c r="F37" s="128"/>
      <c r="G37" s="70">
        <f>IFERROR(VLOOKUP("*"&amp;E37&amp;"*",[5]资产负债表!$F$6:$H$47,3,0),0)</f>
        <v>1500000000</v>
      </c>
      <c r="H37" s="99">
        <f>[6]资产负债表!G37</f>
        <v>1500000000</v>
      </c>
    </row>
    <row r="38" ht="27.45" customHeight="1" spans="1:8">
      <c r="A38" s="93" t="s">
        <v>104</v>
      </c>
      <c r="B38" s="64"/>
      <c r="C38" s="126">
        <f>IFERROR(VLOOKUP("*"&amp;A38&amp;"*",[5]资产负债表!$A$7:$C$48,3,0),0)</f>
        <v>0</v>
      </c>
      <c r="D38" s="126">
        <f>[6]资产负债表!C38</f>
        <v>0</v>
      </c>
      <c r="E38" s="131" t="s">
        <v>323</v>
      </c>
      <c r="F38" s="138"/>
      <c r="G38" s="70">
        <f>IFERROR(VLOOKUP("*"&amp;E38&amp;"*",[5]资产负债表!$F$6:$H$47,3,0),0)</f>
        <v>0</v>
      </c>
      <c r="H38" s="99">
        <f>[6]资产负债表!G38</f>
        <v>0</v>
      </c>
    </row>
    <row r="39" ht="27.45" customHeight="1" spans="1:8">
      <c r="A39" s="93" t="s">
        <v>107</v>
      </c>
      <c r="B39" s="64"/>
      <c r="C39" s="126">
        <f>IFERROR(VLOOKUP("*"&amp;A39&amp;"*",[5]资产负债表!$A$7:$C$48,3,0),0)</f>
        <v>12500</v>
      </c>
      <c r="D39" s="126">
        <f>[6]资产负债表!C39</f>
        <v>12500</v>
      </c>
      <c r="E39" s="131" t="s">
        <v>108</v>
      </c>
      <c r="F39" s="128"/>
      <c r="G39" s="70">
        <f>IFERROR(VLOOKUP("*"&amp;E39&amp;"*",[5]资产负债表!$F$6:$H$47,3,0),0)</f>
        <v>0</v>
      </c>
      <c r="H39" s="99">
        <f>[6]资产负债表!G39</f>
        <v>0</v>
      </c>
    </row>
    <row r="40" ht="27.45" customHeight="1" spans="1:8">
      <c r="A40" s="93" t="s">
        <v>109</v>
      </c>
      <c r="B40" s="64"/>
      <c r="C40" s="126">
        <f>IFERROR(VLOOKUP("*"&amp;A40&amp;"*",[5]资产负债表!$A$7:$C$48,3,0),0)</f>
        <v>0</v>
      </c>
      <c r="D40" s="126">
        <f>[6]资产负债表!C40</f>
        <v>0</v>
      </c>
      <c r="E40" s="131" t="s">
        <v>111</v>
      </c>
      <c r="F40" s="128"/>
      <c r="G40" s="70">
        <f>IFERROR(VLOOKUP("*"&amp;E40&amp;"*",[5]资产负债表!$F$6:$H$47,3,0),0)</f>
        <v>0</v>
      </c>
      <c r="H40" s="99">
        <f>[6]资产负债表!G40</f>
        <v>0</v>
      </c>
    </row>
    <row r="41" ht="27.45" customHeight="1" spans="1:10">
      <c r="A41" s="147" t="s">
        <v>112</v>
      </c>
      <c r="B41" s="64"/>
      <c r="C41" s="94">
        <f>SUM(C23:C40)</f>
        <v>23725552720.13</v>
      </c>
      <c r="D41" s="94">
        <f>SUM(D23:D40)</f>
        <v>23725041720.13</v>
      </c>
      <c r="E41" s="131" t="s">
        <v>324</v>
      </c>
      <c r="F41" s="128"/>
      <c r="G41" s="70">
        <f>IFERROR(VLOOKUP("*"&amp;E41&amp;"*",[5]资产负债表!$F$6:$H$47,3,0),0)</f>
        <v>22232029220.13</v>
      </c>
      <c r="H41" s="99">
        <f>[6]资产负债表!G41</f>
        <v>22232029220.13</v>
      </c>
      <c r="J41" s="160">
        <f>G41-H41</f>
        <v>0</v>
      </c>
    </row>
    <row r="42" ht="27.45" customHeight="1" spans="1:8">
      <c r="A42" s="93"/>
      <c r="B42" s="64"/>
      <c r="C42" s="126"/>
      <c r="D42" s="126"/>
      <c r="E42" s="128" t="s">
        <v>325</v>
      </c>
      <c r="F42" s="128"/>
      <c r="G42" s="70">
        <f>IFERROR(VLOOKUP("*"&amp;E42&amp;"*",[5]资产负债表!$F$6:$H$47,3,0),0)</f>
        <v>0</v>
      </c>
      <c r="H42" s="99">
        <f>[6]资产负债表!G42</f>
        <v>0</v>
      </c>
    </row>
    <row r="43" ht="27.45" customHeight="1" spans="1:8">
      <c r="A43" s="93"/>
      <c r="B43" s="64"/>
      <c r="C43" s="126"/>
      <c r="D43" s="126"/>
      <c r="E43" s="131" t="s">
        <v>326</v>
      </c>
      <c r="F43" s="138"/>
      <c r="G43" s="70">
        <f>IFERROR(VLOOKUP("*"&amp;E43&amp;"*",[5]资产负债表!$F$6:$H$47,3,0),0)</f>
        <v>0</v>
      </c>
      <c r="H43" s="99">
        <f>[6]资产负债表!G43</f>
        <v>0</v>
      </c>
    </row>
    <row r="44" ht="27.45" customHeight="1" spans="1:8">
      <c r="A44" s="93"/>
      <c r="B44" s="64"/>
      <c r="C44" s="126"/>
      <c r="D44" s="126"/>
      <c r="E44" s="128" t="s">
        <v>327</v>
      </c>
      <c r="F44" s="128"/>
      <c r="G44" s="70">
        <f>IFERROR(VLOOKUP("*"&amp;E44&amp;"*",[5]资产负债表!$F$6:$H$47,3,0),0)</f>
        <v>0</v>
      </c>
      <c r="H44" s="99">
        <f>[6]资产负债表!G44</f>
        <v>0</v>
      </c>
    </row>
    <row r="45" ht="27.45" customHeight="1" spans="1:8">
      <c r="A45" s="93"/>
      <c r="B45" s="64"/>
      <c r="C45" s="126"/>
      <c r="D45" s="126"/>
      <c r="E45" s="128" t="s">
        <v>328</v>
      </c>
      <c r="F45" s="128"/>
      <c r="G45" s="70">
        <f>IFERROR(VLOOKUP("*"&amp;E45&amp;"*",[5]资产负债表!$F$6:$H$47,3,0),0)</f>
        <v>0</v>
      </c>
      <c r="H45" s="99">
        <f>[6]资产负债表!G45</f>
        <v>0</v>
      </c>
    </row>
    <row r="46" ht="27.45" customHeight="1" spans="1:8">
      <c r="A46" s="93"/>
      <c r="B46" s="64"/>
      <c r="C46" s="126"/>
      <c r="D46" s="126"/>
      <c r="E46" s="131" t="s">
        <v>329</v>
      </c>
      <c r="F46" s="128"/>
      <c r="G46" s="70">
        <f>IFERROR(VLOOKUP("*"&amp;E46&amp;"*",[5]资产负债表!$F$6:$H$47,3,0),0)</f>
        <v>-34574404.06</v>
      </c>
      <c r="H46" s="99">
        <f>[6]资产负债表!G46</f>
        <v>-20379531.27</v>
      </c>
    </row>
    <row r="47" s="85" customFormat="1" ht="27.45" customHeight="1" spans="1:12">
      <c r="A47" s="147"/>
      <c r="B47" s="64"/>
      <c r="C47" s="126"/>
      <c r="D47" s="126"/>
      <c r="E47" s="138" t="s">
        <v>126</v>
      </c>
      <c r="F47" s="128"/>
      <c r="G47" s="139">
        <f>SUM(G37:G38)+G41-G42+SUM(G43:G46)</f>
        <v>23697454816.07</v>
      </c>
      <c r="H47" s="140">
        <f>SUM(H37:H38)+H41-H42+SUM(H43:H46)</f>
        <v>23711649688.86</v>
      </c>
      <c r="L47" s="108"/>
    </row>
    <row r="48" ht="27.45" customHeight="1" spans="1:8">
      <c r="A48" s="148" t="s">
        <v>127</v>
      </c>
      <c r="B48" s="74"/>
      <c r="C48" s="104">
        <f>C21+C41</f>
        <v>30409167671.17</v>
      </c>
      <c r="D48" s="104">
        <f>D21+D41</f>
        <v>28277560005.94</v>
      </c>
      <c r="E48" s="149" t="s">
        <v>128</v>
      </c>
      <c r="F48" s="150"/>
      <c r="G48" s="104">
        <f>G35+G47</f>
        <v>30409167671.17</v>
      </c>
      <c r="H48" s="105">
        <f>H35+H47</f>
        <v>28277560005.94</v>
      </c>
    </row>
    <row r="49" ht="20.25" customHeight="1" spans="1:8">
      <c r="A49" s="151" t="s">
        <v>330</v>
      </c>
      <c r="B49" s="106"/>
      <c r="C49" s="106"/>
      <c r="D49" s="106" t="s">
        <v>297</v>
      </c>
      <c r="E49" s="152"/>
      <c r="F49" s="153"/>
      <c r="G49" s="153" t="s">
        <v>247</v>
      </c>
      <c r="H49" s="153"/>
    </row>
    <row r="50" customHeight="1" spans="1:8">
      <c r="A50" s="51"/>
      <c r="B50" s="48"/>
      <c r="C50" s="48"/>
      <c r="D50" s="48"/>
      <c r="E50" s="154"/>
      <c r="F50" s="155"/>
      <c r="G50" s="155"/>
      <c r="H50" s="155"/>
    </row>
    <row r="52" customHeight="1" spans="1:4">
      <c r="A52" s="44"/>
      <c r="C52" s="115">
        <f>C48-G48</f>
        <v>0</v>
      </c>
      <c r="D52" s="115">
        <f>D48-H48</f>
        <v>0</v>
      </c>
    </row>
    <row r="53" customHeight="1" spans="1:4">
      <c r="A53" s="44"/>
      <c r="C53" s="156">
        <f>C48-[3]资产负债表!$C$47</f>
        <v>2131607665.23</v>
      </c>
      <c r="D53" s="156">
        <f>D48-[3]资产负债表!$D$47</f>
        <v>1929362344.52</v>
      </c>
    </row>
    <row r="54" customHeight="1" spans="1:1">
      <c r="A54" s="44"/>
    </row>
  </sheetData>
  <mergeCells count="2">
    <mergeCell ref="A1:H1"/>
    <mergeCell ref="A2:H2"/>
  </mergeCells>
  <printOptions horizontalCentered="1"/>
  <pageMargins left="0.708661417322835" right="0.708661417322835" top="1.02362204724409" bottom="0.748031496062992" header="0.31496062992126" footer="0.31496062992126"/>
  <pageSetup paperSize="9" scale="56" orientation="portrait"/>
  <headerFooter alignWithMargins="0" scaleWithDoc="0">
    <oddFooter>&amp;C&amp;"Arial Narrow,常规"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F53"/>
  <sheetViews>
    <sheetView showZeros="0" view="pageBreakPreview" zoomScale="90" zoomScaleNormal="100" showWhiteSpace="0" topLeftCell="A25" workbookViewId="0">
      <selection activeCell="E10" sqref="E10"/>
    </sheetView>
  </sheetViews>
  <sheetFormatPr defaultColWidth="9" defaultRowHeight="12.75" outlineLevelCol="5"/>
  <cols>
    <col min="1" max="1" width="50" style="48" customWidth="1"/>
    <col min="2" max="2" width="16.2833333333333" style="78" customWidth="1"/>
    <col min="3" max="4" width="21.5666666666667" style="78" customWidth="1"/>
    <col min="5" max="5" width="11.5" style="48" customWidth="1"/>
    <col min="6" max="6" width="11.7083333333333" style="48" customWidth="1"/>
    <col min="7" max="16384" width="9" style="48"/>
  </cols>
  <sheetData>
    <row r="1" s="81" customFormat="1" ht="22.2" customHeight="1" spans="1:4">
      <c r="A1" s="86" t="s">
        <v>331</v>
      </c>
      <c r="B1" s="86"/>
      <c r="C1" s="86"/>
      <c r="D1" s="86"/>
    </row>
    <row r="2" s="82" customFormat="1" ht="16.5" customHeight="1" spans="1:4">
      <c r="A2" s="50" t="str">
        <f>'合并利润表 '!A2:D2</f>
        <v> 2025年1-6月</v>
      </c>
      <c r="B2" s="50"/>
      <c r="C2" s="50"/>
      <c r="D2" s="50"/>
    </row>
    <row r="3" s="82" customFormat="1" ht="17.25" customHeight="1" spans="1:4">
      <c r="A3" s="87" t="str">
        <f>合并资产负债表!A3</f>
        <v>编制单位：平阳县国诚控股有限公司</v>
      </c>
      <c r="B3" s="88"/>
      <c r="C3" s="88"/>
      <c r="D3" s="52" t="s">
        <v>134</v>
      </c>
    </row>
    <row r="4" s="83" customFormat="1" ht="22.1" customHeight="1" spans="1:4">
      <c r="A4" s="53" t="s">
        <v>332</v>
      </c>
      <c r="B4" s="54" t="s">
        <v>4</v>
      </c>
      <c r="C4" s="55" t="str">
        <f>'合并利润表 '!C4</f>
        <v>本年金额</v>
      </c>
      <c r="D4" s="56" t="str">
        <f>'合并利润表 '!D4</f>
        <v>上年金额</v>
      </c>
    </row>
    <row r="5" s="84" customFormat="1" ht="22.1" customHeight="1" spans="1:6">
      <c r="A5" s="69" t="s">
        <v>333</v>
      </c>
      <c r="B5" s="89"/>
      <c r="C5" s="70">
        <f>IFERROR(VLOOKUP("*"&amp;A5&amp;"*",[5]利润表!$A$6:$D$51,3,0),0)</f>
        <v>0</v>
      </c>
      <c r="D5" s="90">
        <f>[7]利润表!C5</f>
        <v>0</v>
      </c>
      <c r="F5" s="91"/>
    </row>
    <row r="6" s="82" customFormat="1" ht="22.1" customHeight="1" spans="1:4">
      <c r="A6" s="61" t="s">
        <v>334</v>
      </c>
      <c r="B6" s="89"/>
      <c r="C6" s="70">
        <f>IFERROR(VLOOKUP("*"&amp;A6&amp;"*",[5]利润表!$A$6:$D$51,3,0),0)</f>
        <v>0</v>
      </c>
      <c r="D6" s="90">
        <f>[7]利润表!C6</f>
        <v>0</v>
      </c>
    </row>
    <row r="7" s="82" customFormat="1" ht="22.1" customHeight="1" spans="1:4">
      <c r="A7" s="92" t="s">
        <v>335</v>
      </c>
      <c r="B7" s="64"/>
      <c r="C7" s="70">
        <f>IFERROR(VLOOKUP("*"&amp;A7&amp;"*",[5]利润表!$A$6:$D$51,3,0),0)</f>
        <v>0</v>
      </c>
      <c r="D7" s="90">
        <f>[7]利润表!C7</f>
        <v>0</v>
      </c>
    </row>
    <row r="8" s="82" customFormat="1" ht="22.1" customHeight="1" spans="1:4">
      <c r="A8" s="92" t="s">
        <v>336</v>
      </c>
      <c r="B8" s="64"/>
      <c r="C8" s="70">
        <f>IFERROR(VLOOKUP("*"&amp;A8&amp;"*",[5]利润表!$A$6:$D$51,3,0),0)</f>
        <v>0</v>
      </c>
      <c r="D8" s="90">
        <f>[7]利润表!C8</f>
        <v>0</v>
      </c>
    </row>
    <row r="9" s="82" customFormat="1" ht="22.1" customHeight="1" spans="1:4">
      <c r="A9" s="92" t="s">
        <v>337</v>
      </c>
      <c r="B9" s="64"/>
      <c r="C9" s="70">
        <f>IFERROR(VLOOKUP("*"&amp;A9&amp;"*",[5]利润表!$A$6:$D$51,3,0),0)</f>
        <v>1303200</v>
      </c>
      <c r="D9" s="90">
        <f>[7]利润表!C9</f>
        <v>150000</v>
      </c>
    </row>
    <row r="10" s="82" customFormat="1" ht="22.1" customHeight="1" spans="1:4">
      <c r="A10" s="92" t="s">
        <v>338</v>
      </c>
      <c r="B10" s="64"/>
      <c r="C10" s="70">
        <f>IFERROR(VLOOKUP("*"&amp;A10&amp;"*",[5]利润表!$A$6:$D$51,3,0),0)</f>
        <v>0</v>
      </c>
      <c r="D10" s="90">
        <f>[7]利润表!C10</f>
        <v>0</v>
      </c>
    </row>
    <row r="11" s="82" customFormat="1" ht="22.1" customHeight="1" spans="1:4">
      <c r="A11" s="92" t="s">
        <v>339</v>
      </c>
      <c r="B11" s="64"/>
      <c r="C11" s="70">
        <f>IFERROR(VLOOKUP("*"&amp;A11&amp;"*",[5]利润表!$A$6:$D$51,3,0),0)</f>
        <v>12891672.8</v>
      </c>
      <c r="D11" s="90">
        <f>[7]利润表!C11</f>
        <v>3318061.29</v>
      </c>
    </row>
    <row r="12" s="82" customFormat="1" ht="22.1" hidden="1" customHeight="1" spans="1:4">
      <c r="A12" s="92" t="s">
        <v>340</v>
      </c>
      <c r="B12" s="64"/>
      <c r="C12" s="70">
        <f>IFERROR(VLOOKUP("*"&amp;A12&amp;"*",[5]利润表!$A$6:$D$51,3,0),0)</f>
        <v>0</v>
      </c>
      <c r="D12" s="90">
        <f>[7]利润表!C12</f>
        <v>0</v>
      </c>
    </row>
    <row r="13" s="82" customFormat="1" ht="22.1" hidden="1" customHeight="1" spans="1:4">
      <c r="A13" s="92" t="s">
        <v>341</v>
      </c>
      <c r="B13" s="64"/>
      <c r="C13" s="70">
        <f>IFERROR(VLOOKUP("*"&amp;A13&amp;"*",[5]利润表!$A$6:$D$51,3,0),0)</f>
        <v>0</v>
      </c>
      <c r="D13" s="90">
        <f>[7]利润表!C13</f>
        <v>0</v>
      </c>
    </row>
    <row r="14" s="82" customFormat="1" ht="22.1" customHeight="1" spans="1:4">
      <c r="A14" s="61" t="s">
        <v>342</v>
      </c>
      <c r="B14" s="64"/>
      <c r="C14" s="70">
        <f>IFERROR(VLOOKUP("*"&amp;A14&amp;"*",[5]利润表!$A$6:$D$51,3,0),0)</f>
        <v>0</v>
      </c>
      <c r="D14" s="90">
        <f>[7]利润表!C14</f>
        <v>0</v>
      </c>
    </row>
    <row r="15" s="82" customFormat="1" ht="22.1" customHeight="1" spans="1:4">
      <c r="A15" s="92" t="s">
        <v>343</v>
      </c>
      <c r="B15" s="64"/>
      <c r="C15" s="70">
        <f>IFERROR(VLOOKUP("*"&amp;A15&amp;"*",[5]利润表!$A$6:$D$51,3,0),0)</f>
        <v>0</v>
      </c>
      <c r="D15" s="90">
        <f>[7]利润表!C15</f>
        <v>0</v>
      </c>
    </row>
    <row r="16" s="82" customFormat="1" ht="22.1" customHeight="1" spans="1:4">
      <c r="A16" s="92" t="s">
        <v>344</v>
      </c>
      <c r="B16" s="64"/>
      <c r="C16" s="70">
        <f>IFERROR(VLOOKUP("*"&amp;A16&amp;"*",[5]利润表!$A$6:$D$51,3,0),0)</f>
        <v>0</v>
      </c>
      <c r="D16" s="90">
        <f>[7]利润表!C16</f>
        <v>0</v>
      </c>
    </row>
    <row r="17" s="82" customFormat="1" ht="22.1" customHeight="1" spans="1:4">
      <c r="A17" s="93" t="s">
        <v>345</v>
      </c>
      <c r="B17" s="64"/>
      <c r="C17" s="70">
        <f>IFERROR(VLOOKUP("*"&amp;A17&amp;"*",[5]利润表!$A$6:$D$51,3,0),0)</f>
        <v>0</v>
      </c>
      <c r="D17" s="90">
        <f>[7]利润表!C17</f>
        <v>0</v>
      </c>
    </row>
    <row r="18" s="82" customFormat="1" ht="22.1" customHeight="1" spans="1:4">
      <c r="A18" s="92" t="s">
        <v>346</v>
      </c>
      <c r="B18" s="64"/>
      <c r="C18" s="70">
        <f>IFERROR(VLOOKUP("*"&amp;A18&amp;"*",[5]利润表!$A$6:$D$51,3,0),0)</f>
        <v>0</v>
      </c>
      <c r="D18" s="90">
        <f>[7]利润表!C18</f>
        <v>0</v>
      </c>
    </row>
    <row r="19" s="82" customFormat="1" ht="22.1" customHeight="1" spans="1:4">
      <c r="A19" s="92" t="s">
        <v>347</v>
      </c>
      <c r="B19" s="64"/>
      <c r="C19" s="70">
        <f>IFERROR(VLOOKUP("*"&amp;A19&amp;"*",[5]利润表!$A$6:$D$51,3,0),0)</f>
        <v>0</v>
      </c>
      <c r="D19" s="90">
        <f>[7]利润表!C19</f>
        <v>0</v>
      </c>
    </row>
    <row r="20" s="82" customFormat="1" ht="22.1" customHeight="1" spans="1:4">
      <c r="A20" s="92" t="s">
        <v>348</v>
      </c>
      <c r="B20" s="64"/>
      <c r="C20" s="70">
        <f>IFERROR(VLOOKUP("*"&amp;A20&amp;"*",[5]利润表!$A$6:$D$51,3,0),0)</f>
        <v>0</v>
      </c>
      <c r="D20" s="90">
        <f>[7]利润表!C20</f>
        <v>0</v>
      </c>
    </row>
    <row r="21" s="82" customFormat="1" ht="22.1" customHeight="1" spans="1:4">
      <c r="A21" s="92" t="s">
        <v>349</v>
      </c>
      <c r="B21" s="64"/>
      <c r="C21" s="70">
        <f>IFERROR(VLOOKUP("*"&amp;A21&amp;"*",[5]利润表!$A$6:$D$51,3,0),0)</f>
        <v>0</v>
      </c>
      <c r="D21" s="90">
        <f>[7]利润表!C21</f>
        <v>0</v>
      </c>
    </row>
    <row r="22" s="82" customFormat="1" ht="22.1" customHeight="1" spans="1:4">
      <c r="A22" s="92" t="s">
        <v>350</v>
      </c>
      <c r="B22" s="64"/>
      <c r="C22" s="70">
        <f>IFERROR(VLOOKUP("*"&amp;A22&amp;"*",[5]利润表!$A$6:$D$51,3,0),0)</f>
        <v>0</v>
      </c>
      <c r="D22" s="90">
        <f>[7]利润表!C22</f>
        <v>0</v>
      </c>
    </row>
    <row r="23" s="84" customFormat="1" ht="22.1" customHeight="1" spans="1:4">
      <c r="A23" s="69" t="s">
        <v>351</v>
      </c>
      <c r="B23" s="58"/>
      <c r="C23" s="94">
        <f>C5-SUM(C6:C11)+SUM(C14:C22)-C16-C17</f>
        <v>-14194872.8</v>
      </c>
      <c r="D23" s="95">
        <f>D5-SUM(D6:D11)+SUM(D14:D22)-D16-D17</f>
        <v>-3468061.29</v>
      </c>
    </row>
    <row r="24" s="82" customFormat="1" ht="22.1" customHeight="1" spans="1:4">
      <c r="A24" s="61" t="s">
        <v>352</v>
      </c>
      <c r="B24" s="64"/>
      <c r="C24" s="70">
        <f>IFERROR(VLOOKUP("*"&amp;A24&amp;"*",[5]利润表!$A$6:$D$51,3,0),0)</f>
        <v>0.01</v>
      </c>
      <c r="D24" s="90">
        <f>[7]利润表!C24</f>
        <v>0</v>
      </c>
    </row>
    <row r="25" s="82" customFormat="1" ht="22.1" customHeight="1" spans="1:4">
      <c r="A25" s="61" t="s">
        <v>353</v>
      </c>
      <c r="B25" s="58"/>
      <c r="C25" s="70">
        <f>IFERROR(VLOOKUP("*"&amp;A25&amp;"*",[5]利润表!$A$6:$D$51,3,0),0)</f>
        <v>0</v>
      </c>
      <c r="D25" s="90">
        <f>[7]利润表!C25</f>
        <v>0</v>
      </c>
    </row>
    <row r="26" s="84" customFormat="1" ht="22.1" customHeight="1" spans="1:4">
      <c r="A26" s="69" t="s">
        <v>354</v>
      </c>
      <c r="B26" s="58"/>
      <c r="C26" s="94">
        <f>C23+C24-C25</f>
        <v>-14194872.79</v>
      </c>
      <c r="D26" s="95">
        <f>D23+D24-D25</f>
        <v>-3468061.29</v>
      </c>
    </row>
    <row r="27" s="82" customFormat="1" ht="22.1" customHeight="1" spans="1:4">
      <c r="A27" s="61" t="s">
        <v>355</v>
      </c>
      <c r="B27" s="64"/>
      <c r="C27" s="70">
        <f>IFERROR(VLOOKUP("*"&amp;A27&amp;"*",[5]利润表!$A$6:$D$51,3,0),0)</f>
        <v>0</v>
      </c>
      <c r="D27" s="90">
        <f>[7]利润表!C27</f>
        <v>0</v>
      </c>
    </row>
    <row r="28" s="84" customFormat="1" ht="22.1" customHeight="1" spans="1:4">
      <c r="A28" s="96" t="s">
        <v>356</v>
      </c>
      <c r="B28" s="58"/>
      <c r="C28" s="94">
        <f>C26-C27</f>
        <v>-14194872.79</v>
      </c>
      <c r="D28" s="95">
        <f>D26-D27</f>
        <v>-3468061.29</v>
      </c>
    </row>
    <row r="29" s="84" customFormat="1" ht="22.1" customHeight="1" spans="1:4">
      <c r="A29" s="97" t="s">
        <v>357</v>
      </c>
      <c r="B29" s="98"/>
      <c r="C29" s="70">
        <f>IFERROR(VLOOKUP("*"&amp;A29&amp;"*",[5]利润表!$A$6:$D$51,3,0),0)</f>
        <v>-14194872.79</v>
      </c>
      <c r="D29" s="90">
        <f>[7]利润表!C29</f>
        <v>-3468061.29</v>
      </c>
    </row>
    <row r="30" s="84" customFormat="1" ht="22.1" customHeight="1" spans="1:4">
      <c r="A30" s="97" t="s">
        <v>358</v>
      </c>
      <c r="B30" s="98"/>
      <c r="C30" s="70"/>
      <c r="D30" s="99"/>
    </row>
    <row r="31" s="82" customFormat="1" ht="22.1" customHeight="1" spans="1:4">
      <c r="A31" s="100" t="s">
        <v>359</v>
      </c>
      <c r="B31" s="64"/>
      <c r="C31" s="70">
        <f>C32+C38</f>
        <v>0</v>
      </c>
      <c r="D31" s="99">
        <f>D32+D38</f>
        <v>0</v>
      </c>
    </row>
    <row r="32" s="82" customFormat="1" ht="22.1" customHeight="1" spans="1:4">
      <c r="A32" s="101" t="s">
        <v>360</v>
      </c>
      <c r="B32" s="102"/>
      <c r="C32" s="70">
        <f>SUM(C33:C37)</f>
        <v>0</v>
      </c>
      <c r="D32" s="99">
        <f>SUM(D33:D37)</f>
        <v>0</v>
      </c>
    </row>
    <row r="33" s="82" customFormat="1" ht="22.1" customHeight="1" spans="1:4">
      <c r="A33" s="101" t="s">
        <v>361</v>
      </c>
      <c r="B33" s="102"/>
      <c r="C33" s="103"/>
      <c r="D33" s="90"/>
    </row>
    <row r="34" s="82" customFormat="1" ht="22.1" customHeight="1" spans="1:4">
      <c r="A34" s="101" t="s">
        <v>362</v>
      </c>
      <c r="B34" s="102"/>
      <c r="C34" s="103"/>
      <c r="D34" s="90"/>
    </row>
    <row r="35" s="82" customFormat="1" ht="22.1" customHeight="1" spans="1:4">
      <c r="A35" s="101" t="s">
        <v>363</v>
      </c>
      <c r="B35" s="102"/>
      <c r="C35" s="103"/>
      <c r="D35" s="90"/>
    </row>
    <row r="36" s="82" customFormat="1" ht="22.1" customHeight="1" spans="1:4">
      <c r="A36" s="101" t="s">
        <v>364</v>
      </c>
      <c r="B36" s="102"/>
      <c r="C36" s="103"/>
      <c r="D36" s="90"/>
    </row>
    <row r="37" s="82" customFormat="1" ht="22.1" customHeight="1" spans="1:4">
      <c r="A37" s="101" t="s">
        <v>365</v>
      </c>
      <c r="B37" s="102"/>
      <c r="C37" s="103"/>
      <c r="D37" s="90"/>
    </row>
    <row r="38" s="82" customFormat="1" ht="22.1" customHeight="1" spans="1:4">
      <c r="A38" s="101" t="s">
        <v>366</v>
      </c>
      <c r="B38" s="102"/>
      <c r="C38" s="70">
        <f>SUM(C39:C45)</f>
        <v>0</v>
      </c>
      <c r="D38" s="99">
        <f>SUM(D39:D45)</f>
        <v>0</v>
      </c>
    </row>
    <row r="39" s="82" customFormat="1" ht="22.1" customHeight="1" spans="1:4">
      <c r="A39" s="25" t="s">
        <v>367</v>
      </c>
      <c r="B39" s="102"/>
      <c r="C39" s="103"/>
      <c r="D39" s="90"/>
    </row>
    <row r="40" s="82" customFormat="1" ht="22.1" customHeight="1" spans="1:4">
      <c r="A40" s="25" t="s">
        <v>368</v>
      </c>
      <c r="B40" s="102"/>
      <c r="C40" s="103"/>
      <c r="D40" s="90"/>
    </row>
    <row r="41" s="82" customFormat="1" ht="22.1" customHeight="1" spans="1:4">
      <c r="A41" s="25" t="s">
        <v>369</v>
      </c>
      <c r="B41" s="102"/>
      <c r="C41" s="103"/>
      <c r="D41" s="90"/>
    </row>
    <row r="42" s="82" customFormat="1" ht="22.1" customHeight="1" spans="1:4">
      <c r="A42" s="25" t="s">
        <v>370</v>
      </c>
      <c r="B42" s="102"/>
      <c r="C42" s="103"/>
      <c r="D42" s="90"/>
    </row>
    <row r="43" s="82" customFormat="1" ht="22.1" customHeight="1" spans="1:4">
      <c r="A43" s="25" t="s">
        <v>371</v>
      </c>
      <c r="B43" s="102"/>
      <c r="C43" s="103"/>
      <c r="D43" s="90"/>
    </row>
    <row r="44" s="82" customFormat="1" ht="22.1" customHeight="1" spans="1:4">
      <c r="A44" s="25" t="s">
        <v>372</v>
      </c>
      <c r="B44" s="102"/>
      <c r="C44" s="103"/>
      <c r="D44" s="90"/>
    </row>
    <row r="45" s="82" customFormat="1" ht="22.1" customHeight="1" spans="1:4">
      <c r="A45" s="101" t="s">
        <v>373</v>
      </c>
      <c r="B45" s="102"/>
      <c r="C45" s="103"/>
      <c r="D45" s="90"/>
    </row>
    <row r="46" s="82" customFormat="1" ht="22.1" customHeight="1" spans="1:4">
      <c r="A46" s="73" t="s">
        <v>374</v>
      </c>
      <c r="B46" s="74"/>
      <c r="C46" s="104">
        <f>C28+C31</f>
        <v>-14194872.79</v>
      </c>
      <c r="D46" s="105">
        <f>D28+D31</f>
        <v>-3468061.29</v>
      </c>
    </row>
    <row r="47" s="85" customFormat="1" ht="17.25" customHeight="1" spans="1:6">
      <c r="A47" s="106" t="s">
        <v>375</v>
      </c>
      <c r="B47" s="106"/>
      <c r="C47" s="107" t="s">
        <v>376</v>
      </c>
      <c r="D47" s="106"/>
      <c r="F47" s="108"/>
    </row>
    <row r="48" s="82" customFormat="1" ht="29.25" customHeight="1" spans="1:4">
      <c r="A48" s="109" t="s">
        <v>377</v>
      </c>
      <c r="B48" s="109"/>
      <c r="C48" s="109"/>
      <c r="D48" s="109"/>
    </row>
    <row r="49" ht="20.25" customHeight="1"/>
    <row r="50" spans="1:4">
      <c r="A50" s="44"/>
      <c r="C50" s="5">
        <f>C46-[3]利润表!$C$47</f>
        <v>-5696846.96</v>
      </c>
      <c r="D50" s="5">
        <f>D46-[2]利润表!$C$46</f>
        <v>2405736.76</v>
      </c>
    </row>
    <row r="53" spans="2:4">
      <c r="B53" s="110"/>
      <c r="C53" s="110"/>
      <c r="D53" s="110"/>
    </row>
  </sheetData>
  <mergeCells count="3">
    <mergeCell ref="A1:D1"/>
    <mergeCell ref="A2:D2"/>
    <mergeCell ref="A48:D48"/>
  </mergeCells>
  <printOptions horizontalCentered="1" verticalCentered="1"/>
  <pageMargins left="0.708661417322835" right="0.708661417322835" top="1.02362204724409" bottom="0.748031496062992" header="0.31496062992126" footer="0.31496062992126"/>
  <pageSetup paperSize="9" scale="74" fitToHeight="0" orientation="portrait"/>
  <headerFooter alignWithMargins="0">
    <oddHeader>&amp;C&amp;P</oddHeader>
    <oddFooter>&amp;C&amp;"Arial Narrow,常规" 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E49"/>
  <sheetViews>
    <sheetView showZeros="0" view="pageBreakPreview" zoomScale="85" zoomScaleNormal="100" topLeftCell="A22" workbookViewId="0">
      <selection activeCell="E10" sqref="E10"/>
    </sheetView>
  </sheetViews>
  <sheetFormatPr defaultColWidth="9" defaultRowHeight="12.75" outlineLevelCol="4"/>
  <cols>
    <col min="1" max="1" width="44.5666666666667" style="48" customWidth="1"/>
    <col min="2" max="2" width="8.56666666666667" style="48" customWidth="1"/>
    <col min="3" max="4" width="20.5666666666667" style="48" customWidth="1"/>
    <col min="5" max="16384" width="9" style="48"/>
  </cols>
  <sheetData>
    <row r="1" ht="23.25" customHeight="1" spans="1:4">
      <c r="A1" s="49" t="s">
        <v>378</v>
      </c>
      <c r="B1" s="49"/>
      <c r="C1" s="49"/>
      <c r="D1" s="49"/>
    </row>
    <row r="2" ht="20.25" customHeight="1" spans="1:4">
      <c r="A2" s="50" t="str">
        <f>利润表!A2</f>
        <v> 2025年1-6月</v>
      </c>
      <c r="B2" s="50"/>
      <c r="C2" s="50"/>
      <c r="D2" s="50"/>
    </row>
    <row r="3" ht="16.1" customHeight="1" spans="1:4">
      <c r="A3" s="51" t="str">
        <f>合并资产负债表!A3</f>
        <v>编制单位：平阳县国诚控股有限公司</v>
      </c>
      <c r="D3" s="52" t="s">
        <v>134</v>
      </c>
    </row>
    <row r="4" ht="21" customHeight="1" spans="1:4">
      <c r="A4" s="53" t="s">
        <v>379</v>
      </c>
      <c r="B4" s="54" t="s">
        <v>4</v>
      </c>
      <c r="C4" s="55" t="str">
        <f>'合并现金流量表 '!C4</f>
        <v>本年金额</v>
      </c>
      <c r="D4" s="56" t="str">
        <f>'合并现金流量表 '!D4</f>
        <v>上年金额</v>
      </c>
    </row>
    <row r="5" s="47" customFormat="1" ht="21" customHeight="1" spans="1:4">
      <c r="A5" s="57" t="s">
        <v>206</v>
      </c>
      <c r="B5" s="58"/>
      <c r="C5" s="59"/>
      <c r="D5" s="60"/>
    </row>
    <row r="6" ht="21" customHeight="1" spans="1:4">
      <c r="A6" s="61" t="s">
        <v>207</v>
      </c>
      <c r="B6" s="62"/>
      <c r="C6" s="63">
        <f>IFERROR(VLOOKUP("*"&amp;A6&amp;"*",[5]现金流量表!$A$6:$D$65,3,0),0)</f>
        <v>0</v>
      </c>
      <c r="D6" s="60">
        <f>[7]现金流量表!C6</f>
        <v>0</v>
      </c>
    </row>
    <row r="7" ht="21" customHeight="1" spans="1:4">
      <c r="A7" s="61" t="s">
        <v>208</v>
      </c>
      <c r="B7" s="62"/>
      <c r="C7" s="63">
        <f>IFERROR(VLOOKUP("*"&amp;A7&amp;"*",[5]现金流量表!$A$6:$D$65,3,0),0)</f>
        <v>0</v>
      </c>
      <c r="D7" s="60">
        <f>[7]现金流量表!C7</f>
        <v>0</v>
      </c>
    </row>
    <row r="8" ht="21" customHeight="1" spans="1:4">
      <c r="A8" s="61" t="s">
        <v>209</v>
      </c>
      <c r="B8" s="64"/>
      <c r="C8" s="63">
        <f>IFERROR(VLOOKUP("*"&amp;A8&amp;"*",[5]现金流量表!$A$6:$D$65,3,0),0)</f>
        <v>30146557.84</v>
      </c>
      <c r="D8" s="60">
        <f>[7]现金流量表!C8</f>
        <v>30002514.7</v>
      </c>
    </row>
    <row r="9" ht="21" customHeight="1" spans="1:4">
      <c r="A9" s="65" t="s">
        <v>210</v>
      </c>
      <c r="B9" s="64"/>
      <c r="C9" s="63">
        <f>SUM(C6:C8)</f>
        <v>30146557.84</v>
      </c>
      <c r="D9" s="60">
        <f>SUM(D6:D8)</f>
        <v>30002514.7</v>
      </c>
    </row>
    <row r="10" ht="21" customHeight="1" spans="1:4">
      <c r="A10" s="61" t="s">
        <v>211</v>
      </c>
      <c r="B10" s="64"/>
      <c r="C10" s="63">
        <f>IFERROR(VLOOKUP("*"&amp;A10&amp;"*",[5]现金流量表!$A$6:$D$65,3,0),0)</f>
        <v>78053738.9</v>
      </c>
      <c r="D10" s="60">
        <f>[7]现金流量表!C10</f>
        <v>0</v>
      </c>
    </row>
    <row r="11" ht="21" customHeight="1" spans="1:4">
      <c r="A11" s="61" t="s">
        <v>212</v>
      </c>
      <c r="B11" s="64"/>
      <c r="C11" s="63">
        <f>IFERROR(VLOOKUP("*"&amp;A11&amp;"*",[5]现金流量表!$A$6:$D$65,3,0),0)</f>
        <v>0</v>
      </c>
      <c r="D11" s="60">
        <f>[7]现金流量表!C11</f>
        <v>0</v>
      </c>
    </row>
    <row r="12" ht="21" customHeight="1" spans="1:4">
      <c r="A12" s="61" t="s">
        <v>213</v>
      </c>
      <c r="B12" s="64"/>
      <c r="C12" s="63">
        <f>IFERROR(VLOOKUP("*"&amp;A12&amp;"*",[5]现金流量表!$A$6:$D$65,3,0),0)</f>
        <v>0</v>
      </c>
      <c r="D12" s="60">
        <f>[7]现金流量表!C12</f>
        <v>0</v>
      </c>
    </row>
    <row r="13" ht="21" customHeight="1" spans="1:4">
      <c r="A13" s="61" t="s">
        <v>214</v>
      </c>
      <c r="B13" s="64"/>
      <c r="C13" s="63">
        <f>IFERROR(VLOOKUP("*"&amp;A13&amp;"*",[5]现金流量表!$A$6:$D$65,3,0),0)</f>
        <v>1623951205.42</v>
      </c>
      <c r="D13" s="60">
        <f>[7]现金流量表!C13</f>
        <v>1127938667.52</v>
      </c>
    </row>
    <row r="14" ht="21" customHeight="1" spans="1:4">
      <c r="A14" s="65" t="s">
        <v>380</v>
      </c>
      <c r="B14" s="64"/>
      <c r="C14" s="63">
        <f>SUM(C10:C13)</f>
        <v>1702004944.32</v>
      </c>
      <c r="D14" s="60">
        <f>SUM(D10:D13)</f>
        <v>1127938667.52</v>
      </c>
    </row>
    <row r="15" s="47" customFormat="1" ht="21" customHeight="1" spans="1:4">
      <c r="A15" s="66" t="s">
        <v>216</v>
      </c>
      <c r="B15" s="64"/>
      <c r="C15" s="67">
        <f>C9-C14</f>
        <v>-1671858386.48</v>
      </c>
      <c r="D15" s="68">
        <f>D9-D14</f>
        <v>-1097936152.82</v>
      </c>
    </row>
    <row r="16" s="47" customFormat="1" ht="21" customHeight="1" spans="1:4">
      <c r="A16" s="69" t="s">
        <v>217</v>
      </c>
      <c r="B16" s="58"/>
      <c r="C16" s="59"/>
      <c r="D16" s="60"/>
    </row>
    <row r="17" ht="21" customHeight="1" spans="1:4">
      <c r="A17" s="61" t="s">
        <v>218</v>
      </c>
      <c r="B17" s="64"/>
      <c r="C17" s="63">
        <f>IFERROR(VLOOKUP("*"&amp;A17&amp;"*",[5]现金流量表!$A$6:$D$65,3,0),0)</f>
        <v>0</v>
      </c>
      <c r="D17" s="60">
        <f>[7]现金流量表!C17</f>
        <v>0</v>
      </c>
    </row>
    <row r="18" ht="21" customHeight="1" spans="1:4">
      <c r="A18" s="61" t="s">
        <v>219</v>
      </c>
      <c r="B18" s="64"/>
      <c r="C18" s="63">
        <f>IFERROR(VLOOKUP("*"&amp;A18&amp;"*",[5]现金流量表!$A$6:$D$65,3,0),0)</f>
        <v>0</v>
      </c>
      <c r="D18" s="60">
        <f>[7]现金流量表!C18</f>
        <v>0</v>
      </c>
    </row>
    <row r="19" ht="21" customHeight="1" spans="1:4">
      <c r="A19" s="61" t="s">
        <v>220</v>
      </c>
      <c r="B19" s="64"/>
      <c r="C19" s="63">
        <f>IFERROR(VLOOKUP("*"&amp;A19&amp;"*",[5]现金流量表!$A$6:$D$65,3,0),0)</f>
        <v>0</v>
      </c>
      <c r="D19" s="60">
        <f>[7]现金流量表!C19</f>
        <v>0</v>
      </c>
    </row>
    <row r="20" ht="21" customHeight="1" spans="1:4">
      <c r="A20" s="61" t="s">
        <v>221</v>
      </c>
      <c r="B20" s="64"/>
      <c r="C20" s="63">
        <f>IFERROR(VLOOKUP("*"&amp;A20&amp;"*",[5]现金流量表!$A$6:$D$65,3,0),0)</f>
        <v>0</v>
      </c>
      <c r="D20" s="60">
        <f>[7]现金流量表!C20</f>
        <v>0</v>
      </c>
    </row>
    <row r="21" ht="21" customHeight="1" spans="1:4">
      <c r="A21" s="61" t="s">
        <v>222</v>
      </c>
      <c r="B21" s="64"/>
      <c r="C21" s="63">
        <f>IFERROR(VLOOKUP("*"&amp;A21&amp;"*",[5]现金流量表!$A$6:$D$65,3,0),0)</f>
        <v>0</v>
      </c>
      <c r="D21" s="60">
        <f>[7]现金流量表!C21</f>
        <v>0</v>
      </c>
    </row>
    <row r="22" ht="21" customHeight="1" spans="1:4">
      <c r="A22" s="65" t="s">
        <v>381</v>
      </c>
      <c r="B22" s="64"/>
      <c r="C22" s="70">
        <f>C17+C18+C19+C20+C21</f>
        <v>0</v>
      </c>
      <c r="D22" s="71">
        <f>D17+D18+D19+D20+D21</f>
        <v>0</v>
      </c>
    </row>
    <row r="23" ht="21" customHeight="1" spans="1:4">
      <c r="A23" s="61" t="s">
        <v>224</v>
      </c>
      <c r="B23" s="64"/>
      <c r="C23" s="63">
        <f>IFERROR(VLOOKUP("*"&amp;A23&amp;"*",[5]现金流量表!$A$6:$D$65,3,0),0)</f>
        <v>0</v>
      </c>
      <c r="D23" s="60">
        <f>[7]现金流量表!C23</f>
        <v>0</v>
      </c>
    </row>
    <row r="24" ht="21" customHeight="1" spans="1:4">
      <c r="A24" s="61" t="s">
        <v>225</v>
      </c>
      <c r="B24" s="64"/>
      <c r="C24" s="63">
        <f>IFERROR(VLOOKUP("*"&amp;A24&amp;"*",[5]现金流量表!$A$6:$D$65,3,0),0)</f>
        <v>0</v>
      </c>
      <c r="D24" s="60">
        <f>[7]现金流量表!C24</f>
        <v>0</v>
      </c>
    </row>
    <row r="25" ht="21" customHeight="1" spans="1:4">
      <c r="A25" s="61" t="s">
        <v>226</v>
      </c>
      <c r="B25" s="64"/>
      <c r="C25" s="63">
        <f>IFERROR(VLOOKUP("*"&amp;A25&amp;"*",[5]现金流量表!$A$6:$D$65,3,0),0)</f>
        <v>0</v>
      </c>
      <c r="D25" s="60">
        <f>[7]现金流量表!C25</f>
        <v>0</v>
      </c>
    </row>
    <row r="26" ht="21" customHeight="1" spans="1:4">
      <c r="A26" s="61" t="s">
        <v>227</v>
      </c>
      <c r="B26" s="64"/>
      <c r="C26" s="63">
        <f>IFERROR(VLOOKUP("*"&amp;A26&amp;"*",[5]现金流量表!$A$6:$D$65,3,0),0)</f>
        <v>0</v>
      </c>
      <c r="D26" s="60">
        <f>[7]现金流量表!C26</f>
        <v>0</v>
      </c>
    </row>
    <row r="27" ht="21" customHeight="1" spans="1:4">
      <c r="A27" s="65" t="s">
        <v>382</v>
      </c>
      <c r="B27" s="58"/>
      <c r="C27" s="59">
        <f>C23+C24+C25+C26</f>
        <v>0</v>
      </c>
      <c r="D27" s="59">
        <f>D23+D24+D25+D26</f>
        <v>0</v>
      </c>
    </row>
    <row r="28" s="47" customFormat="1" ht="21" customHeight="1" spans="1:4">
      <c r="A28" s="66" t="s">
        <v>229</v>
      </c>
      <c r="B28" s="58"/>
      <c r="C28" s="67">
        <f>C22-C27</f>
        <v>0</v>
      </c>
      <c r="D28" s="67">
        <f>D22-D27</f>
        <v>0</v>
      </c>
    </row>
    <row r="29" s="47" customFormat="1" ht="21" customHeight="1" spans="1:4">
      <c r="A29" s="69" t="s">
        <v>230</v>
      </c>
      <c r="B29" s="58"/>
      <c r="C29" s="59"/>
      <c r="D29" s="60"/>
    </row>
    <row r="30" ht="21" customHeight="1" spans="1:4">
      <c r="A30" s="61" t="s">
        <v>231</v>
      </c>
      <c r="B30" s="64"/>
      <c r="C30" s="63">
        <f>IFERROR(VLOOKUP("*"&amp;A30&amp;"*",[5]现金流量表!$A$6:$D$65,3,0),0)</f>
        <v>0</v>
      </c>
      <c r="D30" s="60">
        <f>[7]现金流量表!C30</f>
        <v>0</v>
      </c>
    </row>
    <row r="31" ht="21" customHeight="1" spans="1:4">
      <c r="A31" s="61" t="s">
        <v>233</v>
      </c>
      <c r="B31" s="64"/>
      <c r="C31" s="63">
        <f>IFERROR(VLOOKUP("*"&amp;A31&amp;"*",[5]现金流量表!$A$6:$D$65,3,0),0)</f>
        <v>2271100000</v>
      </c>
      <c r="D31" s="60">
        <f>[7]现金流量表!C31</f>
        <v>300000000</v>
      </c>
    </row>
    <row r="32" ht="21" customHeight="1" spans="1:4">
      <c r="A32" s="61" t="s">
        <v>234</v>
      </c>
      <c r="B32" s="64"/>
      <c r="C32" s="63">
        <f>IFERROR(VLOOKUP("*"&amp;A32&amp;"*",[5]现金流量表!$A$6:$D$65,3,0),0)</f>
        <v>0</v>
      </c>
      <c r="D32" s="60">
        <f>[7]现金流量表!C32</f>
        <v>1000000000</v>
      </c>
    </row>
    <row r="33" ht="21" customHeight="1" spans="1:4">
      <c r="A33" s="65" t="s">
        <v>235</v>
      </c>
      <c r="B33" s="64"/>
      <c r="C33" s="59">
        <f>SUM(C30:C32)</f>
        <v>2271100000</v>
      </c>
      <c r="D33" s="60">
        <f>SUM(D30:D32)</f>
        <v>1300000000</v>
      </c>
    </row>
    <row r="34" ht="21" customHeight="1" spans="1:4">
      <c r="A34" s="61" t="s">
        <v>236</v>
      </c>
      <c r="B34" s="64"/>
      <c r="C34" s="63">
        <f>IFERROR(VLOOKUP("*"&amp;A34&amp;"*",[5]现金流量表!$A$6:$D$65,3,0),0)</f>
        <v>155297461.98</v>
      </c>
      <c r="D34" s="60">
        <f>[7]现金流量表!C34</f>
        <v>189406575.34</v>
      </c>
    </row>
    <row r="35" ht="21" customHeight="1" spans="1:4">
      <c r="A35" s="61" t="s">
        <v>237</v>
      </c>
      <c r="B35" s="64"/>
      <c r="C35" s="63">
        <f>IFERROR(VLOOKUP("*"&amp;A35&amp;"*",[5]现金流量表!$A$6:$D$65,3,0),0)</f>
        <v>94044377.12</v>
      </c>
      <c r="D35" s="60">
        <f>[7]现金流量表!C35</f>
        <v>9535767.37999995</v>
      </c>
    </row>
    <row r="36" ht="21" customHeight="1" spans="1:4">
      <c r="A36" s="61" t="s">
        <v>239</v>
      </c>
      <c r="B36" s="58"/>
      <c r="C36" s="63">
        <f>IFERROR(VLOOKUP("*"&amp;A36&amp;"*",[5]现金流量表!$A$6:$D$65,3,0),0)</f>
        <v>0</v>
      </c>
      <c r="D36" s="60">
        <f>[7]现金流量表!C36</f>
        <v>0</v>
      </c>
    </row>
    <row r="37" ht="21" customHeight="1" spans="1:4">
      <c r="A37" s="65" t="s">
        <v>240</v>
      </c>
      <c r="B37" s="58"/>
      <c r="C37" s="59">
        <f>SUM(C34:C36)</f>
        <v>249341839.1</v>
      </c>
      <c r="D37" s="60">
        <f>SUM(D34:D36)</f>
        <v>198942342.72</v>
      </c>
    </row>
    <row r="38" s="47" customFormat="1" ht="21" customHeight="1" spans="1:4">
      <c r="A38" s="66" t="s">
        <v>241</v>
      </c>
      <c r="B38" s="72"/>
      <c r="C38" s="67">
        <f>C33-C37</f>
        <v>2021758160.9</v>
      </c>
      <c r="D38" s="68">
        <f>D33-D37</f>
        <v>1101057657.28</v>
      </c>
    </row>
    <row r="39" s="47" customFormat="1" ht="21" customHeight="1" spans="1:4">
      <c r="A39" s="69" t="s">
        <v>242</v>
      </c>
      <c r="B39" s="72"/>
      <c r="C39" s="59"/>
      <c r="D39" s="60"/>
    </row>
    <row r="40" ht="21" customHeight="1" spans="1:4">
      <c r="A40" s="69" t="s">
        <v>243</v>
      </c>
      <c r="B40" s="64"/>
      <c r="C40" s="67">
        <f>C15+C28+C38+C39</f>
        <v>349899774.42</v>
      </c>
      <c r="D40" s="68">
        <f>D15+D28+D38+D39</f>
        <v>3121504.45999956</v>
      </c>
    </row>
    <row r="41" ht="21" customHeight="1" spans="1:4">
      <c r="A41" s="61" t="s">
        <v>244</v>
      </c>
      <c r="B41" s="64"/>
      <c r="C41" s="63">
        <f>IFERROR(VLOOKUP("*"&amp;A41&amp;"*",[5]现金流量表!$A$6:$D$65,3,0),0)</f>
        <v>2090972.98</v>
      </c>
      <c r="D41" s="60">
        <f>[7]现金流量表!C41</f>
        <v>844903.55</v>
      </c>
    </row>
    <row r="42" ht="21" customHeight="1" spans="1:4">
      <c r="A42" s="73" t="s">
        <v>245</v>
      </c>
      <c r="B42" s="74"/>
      <c r="C42" s="75">
        <f>C40+C41</f>
        <v>351990747.4</v>
      </c>
      <c r="D42" s="76">
        <f>D40+D41</f>
        <v>3966408.00999956</v>
      </c>
    </row>
    <row r="43" ht="18" customHeight="1" spans="1:4">
      <c r="A43" s="77" t="s">
        <v>383</v>
      </c>
      <c r="B43" s="77"/>
      <c r="C43" s="77"/>
      <c r="D43" s="77"/>
    </row>
    <row r="44" ht="20.25" customHeight="1" spans="1:4">
      <c r="A44" s="78"/>
      <c r="B44" s="78"/>
      <c r="C44" s="78"/>
      <c r="D44" s="78"/>
    </row>
    <row r="45" hidden="1" spans="3:4">
      <c r="C45" s="79">
        <f>C42-[3]现金流量表!$C$64</f>
        <v>349905190.21</v>
      </c>
      <c r="D45" s="79">
        <f>D42-[2]现金流量表!$C$42</f>
        <v>3121504.4599995</v>
      </c>
    </row>
    <row r="46" hidden="1" spans="3:4">
      <c r="C46" s="79">
        <f>C42-资产负债表!C6</f>
        <v>0</v>
      </c>
      <c r="D46" s="79">
        <f>D42-资产负债表!D6</f>
        <v>1875435.02999956</v>
      </c>
    </row>
    <row r="47" hidden="1" spans="3:5">
      <c r="C47" s="79">
        <v>6</v>
      </c>
      <c r="D47" s="79">
        <f>[2]现金流量表!$C$47</f>
        <v>5.7159923017025e-8</v>
      </c>
      <c r="E47" s="80" t="s">
        <v>384</v>
      </c>
    </row>
    <row r="48" hidden="1"/>
    <row r="49" hidden="1" spans="3:4">
      <c r="C49" s="79">
        <f>C46+C47</f>
        <v>6</v>
      </c>
      <c r="D49" s="79">
        <f>D46+D47</f>
        <v>1875435.02999962</v>
      </c>
    </row>
  </sheetData>
  <mergeCells count="4">
    <mergeCell ref="A1:D1"/>
    <mergeCell ref="A2:D2"/>
    <mergeCell ref="A43:D43"/>
    <mergeCell ref="A44:D44"/>
  </mergeCells>
  <printOptions horizontalCentered="1"/>
  <pageMargins left="0.708661417322835" right="0.708661417322835" top="1.02362204724409" bottom="0.748031496062992" header="0.31496062992126" footer="0.31496062992126"/>
  <pageSetup paperSize="9" scale="85" orientation="portrait"/>
  <headerFooter alignWithMargins="0" scaleWithDoc="0">
    <oddFooter>&amp;C&amp;"Arial Narrow,常规"&amp;P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M76"/>
  <sheetViews>
    <sheetView showZeros="0" view="pageBreakPreview" zoomScale="83" zoomScalePageLayoutView="85" zoomScaleNormal="100" topLeftCell="A12" workbookViewId="0">
      <selection activeCell="E10" sqref="E10"/>
    </sheetView>
  </sheetViews>
  <sheetFormatPr defaultColWidth="9" defaultRowHeight="20.25" customHeight="1"/>
  <cols>
    <col min="1" max="1" width="37.0666666666667" style="4" customWidth="1"/>
    <col min="2" max="2" width="17.7083333333333" style="5" customWidth="1"/>
    <col min="3" max="3" width="11.0666666666667" style="5" customWidth="1"/>
    <col min="4" max="4" width="11" style="5" customWidth="1"/>
    <col min="5" max="5" width="9.70833333333333" style="5" customWidth="1"/>
    <col min="6" max="6" width="20.2083333333333" style="5" customWidth="1"/>
    <col min="7" max="7" width="12.5" style="5" customWidth="1"/>
    <col min="8" max="8" width="12.5666666666667" style="5" customWidth="1"/>
    <col min="9" max="9" width="12" style="5" customWidth="1"/>
    <col min="10" max="10" width="13.2833333333333" style="5" customWidth="1"/>
    <col min="11" max="11" width="19.7083333333333" style="5" customWidth="1"/>
    <col min="12" max="12" width="15.5666666666667" style="5" customWidth="1"/>
    <col min="13" max="13" width="15.7083333333333" style="4" customWidth="1"/>
    <col min="14" max="16384" width="9" style="4"/>
  </cols>
  <sheetData>
    <row r="1" ht="27" customHeight="1" spans="1:12">
      <c r="A1" s="6" t="s">
        <v>385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18.75" customHeight="1" spans="1:12">
      <c r="A2" s="7" t="str">
        <f>现金流量表!A2</f>
        <v> 2025年1-6月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18" customHeight="1" spans="1:12">
      <c r="A3" s="4" t="str">
        <f>合并资产负债表!A3</f>
        <v>编制单位：平阳县国诚控股有限公司</v>
      </c>
      <c r="E3" s="8"/>
      <c r="F3" s="8"/>
      <c r="G3" s="8"/>
      <c r="L3" s="35" t="s">
        <v>251</v>
      </c>
    </row>
    <row r="4" ht="18" customHeight="1" spans="1:12">
      <c r="A4" s="9" t="s">
        <v>386</v>
      </c>
      <c r="B4" s="10" t="s">
        <v>5</v>
      </c>
      <c r="C4" s="11"/>
      <c r="D4" s="11"/>
      <c r="E4" s="11"/>
      <c r="F4" s="11"/>
      <c r="G4" s="11"/>
      <c r="H4" s="11"/>
      <c r="I4" s="11"/>
      <c r="J4" s="11"/>
      <c r="K4" s="11"/>
      <c r="L4" s="36"/>
    </row>
    <row r="5" ht="18" customHeight="1" spans="1:12">
      <c r="A5" s="12"/>
      <c r="B5" s="13" t="s">
        <v>255</v>
      </c>
      <c r="C5" s="14" t="s">
        <v>256</v>
      </c>
      <c r="D5" s="14"/>
      <c r="E5" s="14"/>
      <c r="F5" s="14" t="s">
        <v>257</v>
      </c>
      <c r="G5" s="14" t="s">
        <v>258</v>
      </c>
      <c r="H5" s="14" t="s">
        <v>259</v>
      </c>
      <c r="I5" s="14" t="s">
        <v>260</v>
      </c>
      <c r="J5" s="14" t="s">
        <v>261</v>
      </c>
      <c r="K5" s="14" t="s">
        <v>262</v>
      </c>
      <c r="L5" s="37" t="s">
        <v>126</v>
      </c>
    </row>
    <row r="6" s="1" customFormat="1" ht="18" customHeight="1" spans="1:12">
      <c r="A6" s="15" t="s">
        <v>386</v>
      </c>
      <c r="B6" s="16"/>
      <c r="C6" s="14" t="s">
        <v>264</v>
      </c>
      <c r="D6" s="14" t="s">
        <v>265</v>
      </c>
      <c r="E6" s="14" t="s">
        <v>266</v>
      </c>
      <c r="F6" s="14"/>
      <c r="G6" s="14"/>
      <c r="H6" s="14"/>
      <c r="I6" s="14"/>
      <c r="J6" s="14"/>
      <c r="K6" s="14"/>
      <c r="L6" s="38"/>
    </row>
    <row r="7" s="2" customFormat="1" ht="18" customHeight="1" spans="1:12">
      <c r="A7" s="17" t="s">
        <v>267</v>
      </c>
      <c r="B7" s="18">
        <f>[6]所有者权益变动表!B34</f>
        <v>1500000000</v>
      </c>
      <c r="C7" s="18">
        <f>[6]所有者权益变动表!C34</f>
        <v>0</v>
      </c>
      <c r="D7" s="18">
        <f>[6]所有者权益变动表!D34</f>
        <v>0</v>
      </c>
      <c r="E7" s="18">
        <f>[6]所有者权益变动表!E34</f>
        <v>0</v>
      </c>
      <c r="F7" s="18">
        <f>[6]所有者权益变动表!F34</f>
        <v>22232029220.13</v>
      </c>
      <c r="G7" s="18">
        <f>[6]所有者权益变动表!G34</f>
        <v>0</v>
      </c>
      <c r="H7" s="18">
        <f>[6]所有者权益变动表!H34</f>
        <v>0</v>
      </c>
      <c r="I7" s="18">
        <f>[6]所有者权益变动表!I34</f>
        <v>0</v>
      </c>
      <c r="J7" s="18">
        <f>[6]所有者权益变动表!J34</f>
        <v>0</v>
      </c>
      <c r="K7" s="18">
        <f>[6]所有者权益变动表!K34</f>
        <v>-20379531.27</v>
      </c>
      <c r="L7" s="18">
        <f>SUM(B7:K7)</f>
        <v>23711649688.86</v>
      </c>
    </row>
    <row r="8" s="2" customFormat="1" ht="18" customHeight="1" spans="1:12">
      <c r="A8" s="19" t="s">
        <v>387</v>
      </c>
      <c r="B8" s="20"/>
      <c r="C8" s="21"/>
      <c r="D8" s="21"/>
      <c r="E8" s="21"/>
      <c r="F8" s="20"/>
      <c r="G8" s="21"/>
      <c r="H8" s="21"/>
      <c r="I8" s="21"/>
      <c r="J8" s="21"/>
      <c r="K8" s="21"/>
      <c r="L8" s="39">
        <f t="shared" ref="L8:L34" si="0">SUM(B8:F8)-G8+SUM(H8:K8)</f>
        <v>0</v>
      </c>
    </row>
    <row r="9" s="2" customFormat="1" ht="18" customHeight="1" spans="1:12">
      <c r="A9" s="19" t="s">
        <v>388</v>
      </c>
      <c r="B9" s="20"/>
      <c r="C9" s="21"/>
      <c r="D9" s="21"/>
      <c r="E9" s="21"/>
      <c r="F9" s="20"/>
      <c r="G9" s="21"/>
      <c r="H9" s="21"/>
      <c r="I9" s="21"/>
      <c r="J9" s="21"/>
      <c r="K9" s="21"/>
      <c r="L9" s="39">
        <f t="shared" si="0"/>
        <v>0</v>
      </c>
    </row>
    <row r="10" s="2" customFormat="1" ht="18" customHeight="1" spans="1:12">
      <c r="A10" s="19" t="s">
        <v>389</v>
      </c>
      <c r="B10" s="20"/>
      <c r="C10" s="21"/>
      <c r="D10" s="21"/>
      <c r="E10" s="21"/>
      <c r="F10" s="20"/>
      <c r="G10" s="21"/>
      <c r="H10" s="21"/>
      <c r="I10" s="21"/>
      <c r="J10" s="21"/>
      <c r="K10" s="21"/>
      <c r="L10" s="39">
        <f t="shared" si="0"/>
        <v>0</v>
      </c>
    </row>
    <row r="11" s="2" customFormat="1" ht="18" customHeight="1" spans="1:12">
      <c r="A11" s="17" t="s">
        <v>272</v>
      </c>
      <c r="B11" s="18">
        <f>SUM(B7:B10)</f>
        <v>1500000000</v>
      </c>
      <c r="C11" s="22">
        <f t="shared" ref="C11:K11" si="1">SUM(C7:C10)</f>
        <v>0</v>
      </c>
      <c r="D11" s="22">
        <f t="shared" si="1"/>
        <v>0</v>
      </c>
      <c r="E11" s="22">
        <f t="shared" si="1"/>
        <v>0</v>
      </c>
      <c r="F11" s="18">
        <f t="shared" si="1"/>
        <v>22232029220.13</v>
      </c>
      <c r="G11" s="22">
        <f t="shared" si="1"/>
        <v>0</v>
      </c>
      <c r="H11" s="22">
        <f t="shared" si="1"/>
        <v>0</v>
      </c>
      <c r="I11" s="22">
        <f t="shared" si="1"/>
        <v>0</v>
      </c>
      <c r="J11" s="18">
        <f t="shared" si="1"/>
        <v>0</v>
      </c>
      <c r="K11" s="18">
        <f t="shared" si="1"/>
        <v>-20379531.27</v>
      </c>
      <c r="L11" s="40">
        <f t="shared" si="0"/>
        <v>23711649688.86</v>
      </c>
    </row>
    <row r="12" s="2" customFormat="1" ht="18" customHeight="1" spans="1:12">
      <c r="A12" s="17" t="s">
        <v>273</v>
      </c>
      <c r="B12" s="23">
        <f>B13+B14+B19+B23+B30+B33</f>
        <v>0</v>
      </c>
      <c r="C12" s="23">
        <f t="shared" ref="C12:K12" si="2">C13+C14+C19+C23+C30+C33</f>
        <v>0</v>
      </c>
      <c r="D12" s="23">
        <f t="shared" si="2"/>
        <v>0</v>
      </c>
      <c r="E12" s="23">
        <f t="shared" si="2"/>
        <v>0</v>
      </c>
      <c r="F12" s="18">
        <f t="shared" si="2"/>
        <v>0</v>
      </c>
      <c r="G12" s="23">
        <f t="shared" si="2"/>
        <v>0</v>
      </c>
      <c r="H12" s="18">
        <f t="shared" si="2"/>
        <v>0</v>
      </c>
      <c r="I12" s="23">
        <f t="shared" si="2"/>
        <v>0</v>
      </c>
      <c r="J12" s="18">
        <f t="shared" si="2"/>
        <v>0</v>
      </c>
      <c r="K12" s="18">
        <f t="shared" si="2"/>
        <v>-14194872.79</v>
      </c>
      <c r="L12" s="40">
        <f t="shared" si="0"/>
        <v>-14194872.79</v>
      </c>
    </row>
    <row r="13" s="2" customFormat="1" ht="18" customHeight="1" spans="1:12">
      <c r="A13" s="19" t="s">
        <v>274</v>
      </c>
      <c r="B13" s="24"/>
      <c r="C13" s="24"/>
      <c r="D13" s="24"/>
      <c r="E13" s="24"/>
      <c r="F13" s="20"/>
      <c r="G13" s="24"/>
      <c r="H13" s="24">
        <f>利润表!C31</f>
        <v>0</v>
      </c>
      <c r="I13" s="24"/>
      <c r="J13" s="20"/>
      <c r="K13" s="20">
        <f>利润表!C28</f>
        <v>-14194872.79</v>
      </c>
      <c r="L13" s="40">
        <f t="shared" si="0"/>
        <v>-14194872.79</v>
      </c>
    </row>
    <row r="14" s="2" customFormat="1" ht="18" customHeight="1" spans="1:12">
      <c r="A14" s="19" t="s">
        <v>275</v>
      </c>
      <c r="B14" s="24">
        <f>SUM(B15:B18)</f>
        <v>0</v>
      </c>
      <c r="C14" s="24">
        <f t="shared" ref="C14:K14" si="3">SUM(C15:C18)</f>
        <v>0</v>
      </c>
      <c r="D14" s="24">
        <f t="shared" si="3"/>
        <v>0</v>
      </c>
      <c r="E14" s="24">
        <f t="shared" si="3"/>
        <v>0</v>
      </c>
      <c r="F14" s="20">
        <f t="shared" si="3"/>
        <v>0</v>
      </c>
      <c r="G14" s="24">
        <f t="shared" si="3"/>
        <v>0</v>
      </c>
      <c r="H14" s="20">
        <f t="shared" si="3"/>
        <v>0</v>
      </c>
      <c r="I14" s="24">
        <f t="shared" si="3"/>
        <v>0</v>
      </c>
      <c r="J14" s="21">
        <f t="shared" si="3"/>
        <v>0</v>
      </c>
      <c r="K14" s="21">
        <f t="shared" si="3"/>
        <v>0</v>
      </c>
      <c r="L14" s="39">
        <f t="shared" si="0"/>
        <v>0</v>
      </c>
    </row>
    <row r="15" s="2" customFormat="1" ht="18" customHeight="1" spans="1:12">
      <c r="A15" s="25" t="s">
        <v>276</v>
      </c>
      <c r="B15" s="24"/>
      <c r="C15" s="24"/>
      <c r="D15" s="24"/>
      <c r="E15" s="24"/>
      <c r="F15" s="24"/>
      <c r="G15" s="24"/>
      <c r="H15" s="20"/>
      <c r="I15" s="24"/>
      <c r="J15" s="21"/>
      <c r="K15" s="21"/>
      <c r="L15" s="39">
        <f t="shared" si="0"/>
        <v>0</v>
      </c>
    </row>
    <row r="16" s="2" customFormat="1" ht="18" customHeight="1" spans="1:12">
      <c r="A16" s="25" t="s">
        <v>277</v>
      </c>
      <c r="B16" s="24"/>
      <c r="C16" s="24"/>
      <c r="D16" s="24"/>
      <c r="E16" s="24"/>
      <c r="F16" s="24"/>
      <c r="G16" s="24"/>
      <c r="H16" s="20"/>
      <c r="I16" s="24"/>
      <c r="J16" s="21"/>
      <c r="K16" s="21"/>
      <c r="L16" s="41">
        <f t="shared" si="0"/>
        <v>0</v>
      </c>
    </row>
    <row r="17" s="2" customFormat="1" ht="18" customHeight="1" spans="1:12">
      <c r="A17" s="25" t="s">
        <v>278</v>
      </c>
      <c r="B17" s="24"/>
      <c r="C17" s="24"/>
      <c r="D17" s="24"/>
      <c r="E17" s="24"/>
      <c r="F17" s="24"/>
      <c r="G17" s="24"/>
      <c r="H17" s="20"/>
      <c r="I17" s="24"/>
      <c r="J17" s="21"/>
      <c r="K17" s="21"/>
      <c r="L17" s="41">
        <f t="shared" si="0"/>
        <v>0</v>
      </c>
    </row>
    <row r="18" s="2" customFormat="1" ht="18" customHeight="1" spans="1:12">
      <c r="A18" s="25" t="s">
        <v>279</v>
      </c>
      <c r="B18" s="24"/>
      <c r="C18" s="24"/>
      <c r="D18" s="24"/>
      <c r="E18" s="24"/>
      <c r="F18" s="20">
        <f>资产负债表!G41-资产负债表!H41</f>
        <v>0</v>
      </c>
      <c r="G18" s="24"/>
      <c r="H18" s="20">
        <f>资产负债表!G43-资产负债表!H43</f>
        <v>0</v>
      </c>
      <c r="I18" s="24"/>
      <c r="J18" s="21"/>
      <c r="K18" s="21"/>
      <c r="L18" s="40">
        <f t="shared" si="0"/>
        <v>0</v>
      </c>
    </row>
    <row r="19" s="2" customFormat="1" ht="18" customHeight="1" spans="1:12">
      <c r="A19" s="19" t="s">
        <v>280</v>
      </c>
      <c r="B19" s="24">
        <f t="shared" ref="B19:K19" si="4">SUM(B20:B22)</f>
        <v>0</v>
      </c>
      <c r="C19" s="24">
        <f t="shared" si="4"/>
        <v>0</v>
      </c>
      <c r="D19" s="24">
        <f t="shared" si="4"/>
        <v>0</v>
      </c>
      <c r="E19" s="24">
        <f t="shared" si="4"/>
        <v>0</v>
      </c>
      <c r="F19" s="24">
        <f t="shared" si="4"/>
        <v>0</v>
      </c>
      <c r="G19" s="24">
        <f t="shared" si="4"/>
        <v>0</v>
      </c>
      <c r="H19" s="24">
        <f t="shared" si="4"/>
        <v>0</v>
      </c>
      <c r="I19" s="24">
        <f t="shared" si="4"/>
        <v>0</v>
      </c>
      <c r="J19" s="20">
        <f t="shared" si="4"/>
        <v>0</v>
      </c>
      <c r="K19" s="20">
        <f t="shared" si="4"/>
        <v>0</v>
      </c>
      <c r="L19" s="41">
        <f t="shared" si="0"/>
        <v>0</v>
      </c>
    </row>
    <row r="20" s="2" customFormat="1" ht="18" customHeight="1" spans="1:12">
      <c r="A20" s="19" t="s">
        <v>281</v>
      </c>
      <c r="B20" s="24"/>
      <c r="C20" s="24"/>
      <c r="D20" s="24"/>
      <c r="E20" s="24"/>
      <c r="F20" s="24"/>
      <c r="G20" s="24"/>
      <c r="H20" s="24"/>
      <c r="I20" s="24"/>
      <c r="J20" s="20">
        <f>[3]所有者权益变动表!$J$21</f>
        <v>0</v>
      </c>
      <c r="K20" s="20">
        <f>0-J20</f>
        <v>0</v>
      </c>
      <c r="L20" s="41">
        <f t="shared" si="0"/>
        <v>0</v>
      </c>
    </row>
    <row r="21" s="2" customFormat="1" ht="18" customHeight="1" spans="1:12">
      <c r="A21" s="19" t="s">
        <v>282</v>
      </c>
      <c r="B21" s="24"/>
      <c r="C21" s="24"/>
      <c r="D21" s="24"/>
      <c r="E21" s="24"/>
      <c r="F21" s="24"/>
      <c r="G21" s="24"/>
      <c r="H21" s="24"/>
      <c r="I21" s="24"/>
      <c r="J21" s="21"/>
      <c r="K21" s="21"/>
      <c r="L21" s="41">
        <f t="shared" si="0"/>
        <v>0</v>
      </c>
    </row>
    <row r="22" s="2" customFormat="1" ht="18" customHeight="1" spans="1:12">
      <c r="A22" s="19" t="s">
        <v>283</v>
      </c>
      <c r="B22" s="24"/>
      <c r="C22" s="24"/>
      <c r="D22" s="24"/>
      <c r="E22" s="24"/>
      <c r="F22" s="24"/>
      <c r="G22" s="24"/>
      <c r="H22" s="24"/>
      <c r="I22" s="24"/>
      <c r="J22" s="21"/>
      <c r="K22" s="21"/>
      <c r="L22" s="39">
        <f t="shared" si="0"/>
        <v>0</v>
      </c>
    </row>
    <row r="23" s="2" customFormat="1" ht="18" customHeight="1" spans="1:12">
      <c r="A23" s="19" t="s">
        <v>284</v>
      </c>
      <c r="B23" s="24">
        <f>SUM(B24:B29)</f>
        <v>0</v>
      </c>
      <c r="C23" s="24">
        <f t="shared" ref="C23:K23" si="5">SUM(C24:C29)</f>
        <v>0</v>
      </c>
      <c r="D23" s="24">
        <f t="shared" si="5"/>
        <v>0</v>
      </c>
      <c r="E23" s="24">
        <f t="shared" si="5"/>
        <v>0</v>
      </c>
      <c r="F23" s="24">
        <f t="shared" si="5"/>
        <v>0</v>
      </c>
      <c r="G23" s="24">
        <f t="shared" si="5"/>
        <v>0</v>
      </c>
      <c r="H23" s="24">
        <f t="shared" si="5"/>
        <v>0</v>
      </c>
      <c r="I23" s="24">
        <f t="shared" si="5"/>
        <v>0</v>
      </c>
      <c r="J23" s="21">
        <f t="shared" si="5"/>
        <v>0</v>
      </c>
      <c r="K23" s="21">
        <f t="shared" si="5"/>
        <v>0</v>
      </c>
      <c r="L23" s="39">
        <f t="shared" si="0"/>
        <v>0</v>
      </c>
    </row>
    <row r="24" s="2" customFormat="1" ht="18" customHeight="1" spans="1:12">
      <c r="A24" s="19" t="s">
        <v>285</v>
      </c>
      <c r="B24" s="24"/>
      <c r="C24" s="24"/>
      <c r="D24" s="24"/>
      <c r="E24" s="24"/>
      <c r="F24" s="24"/>
      <c r="G24" s="24"/>
      <c r="H24" s="24"/>
      <c r="I24" s="24"/>
      <c r="J24" s="21"/>
      <c r="K24" s="21"/>
      <c r="L24" s="39">
        <f t="shared" si="0"/>
        <v>0</v>
      </c>
    </row>
    <row r="25" s="2" customFormat="1" ht="18" customHeight="1" spans="1:12">
      <c r="A25" s="19" t="s">
        <v>286</v>
      </c>
      <c r="B25" s="24"/>
      <c r="C25" s="24"/>
      <c r="D25" s="24"/>
      <c r="E25" s="24"/>
      <c r="F25" s="24"/>
      <c r="G25" s="24"/>
      <c r="H25" s="24"/>
      <c r="I25" s="24"/>
      <c r="J25" s="21"/>
      <c r="K25" s="21"/>
      <c r="L25" s="39">
        <f t="shared" si="0"/>
        <v>0</v>
      </c>
    </row>
    <row r="26" s="2" customFormat="1" ht="18" customHeight="1" spans="1:12">
      <c r="A26" s="19" t="s">
        <v>287</v>
      </c>
      <c r="B26" s="24"/>
      <c r="C26" s="24"/>
      <c r="D26" s="24"/>
      <c r="E26" s="24"/>
      <c r="F26" s="24"/>
      <c r="G26" s="24"/>
      <c r="H26" s="24"/>
      <c r="I26" s="24"/>
      <c r="J26" s="21"/>
      <c r="K26" s="21"/>
      <c r="L26" s="39">
        <f t="shared" si="0"/>
        <v>0</v>
      </c>
    </row>
    <row r="27" s="2" customFormat="1" ht="18" customHeight="1" spans="1:12">
      <c r="A27" s="19" t="s">
        <v>288</v>
      </c>
      <c r="B27" s="24"/>
      <c r="C27" s="24"/>
      <c r="D27" s="24"/>
      <c r="E27" s="24"/>
      <c r="F27" s="24"/>
      <c r="G27" s="24"/>
      <c r="H27" s="24"/>
      <c r="I27" s="24"/>
      <c r="J27" s="21"/>
      <c r="K27" s="21"/>
      <c r="L27" s="39">
        <f t="shared" si="0"/>
        <v>0</v>
      </c>
    </row>
    <row r="28" s="2" customFormat="1" ht="18" customHeight="1" spans="1:12">
      <c r="A28" s="19" t="s">
        <v>390</v>
      </c>
      <c r="B28" s="24"/>
      <c r="C28" s="24"/>
      <c r="D28" s="24"/>
      <c r="E28" s="24"/>
      <c r="F28" s="24"/>
      <c r="G28" s="24"/>
      <c r="H28" s="24"/>
      <c r="I28" s="24"/>
      <c r="J28" s="21"/>
      <c r="K28" s="21"/>
      <c r="L28" s="39">
        <f t="shared" si="0"/>
        <v>0</v>
      </c>
    </row>
    <row r="29" s="2" customFormat="1" ht="18" customHeight="1" spans="1:12">
      <c r="A29" s="19" t="s">
        <v>290</v>
      </c>
      <c r="B29" s="24"/>
      <c r="C29" s="24"/>
      <c r="D29" s="24"/>
      <c r="E29" s="24"/>
      <c r="F29" s="24"/>
      <c r="G29" s="24"/>
      <c r="H29" s="24"/>
      <c r="I29" s="24"/>
      <c r="J29" s="21"/>
      <c r="K29" s="21"/>
      <c r="L29" s="39">
        <f t="shared" si="0"/>
        <v>0</v>
      </c>
    </row>
    <row r="30" s="2" customFormat="1" ht="18" customHeight="1" spans="1:12">
      <c r="A30" s="26" t="s">
        <v>291</v>
      </c>
      <c r="B30" s="24">
        <f>B31-B32</f>
        <v>0</v>
      </c>
      <c r="C30" s="24">
        <f>C31-C32</f>
        <v>0</v>
      </c>
      <c r="D30" s="24">
        <f>D31-D32</f>
        <v>0</v>
      </c>
      <c r="E30" s="24">
        <f>E31-E32</f>
        <v>0</v>
      </c>
      <c r="F30" s="24">
        <f t="shared" ref="F30:K30" si="6">F31-F32</f>
        <v>0</v>
      </c>
      <c r="G30" s="24">
        <f t="shared" si="6"/>
        <v>0</v>
      </c>
      <c r="H30" s="24">
        <f t="shared" si="6"/>
        <v>0</v>
      </c>
      <c r="I30" s="24">
        <f t="shared" si="6"/>
        <v>0</v>
      </c>
      <c r="J30" s="21">
        <f t="shared" si="6"/>
        <v>0</v>
      </c>
      <c r="K30" s="21">
        <f t="shared" si="6"/>
        <v>0</v>
      </c>
      <c r="L30" s="39">
        <f t="shared" si="0"/>
        <v>0</v>
      </c>
    </row>
    <row r="31" s="2" customFormat="1" ht="18" customHeight="1" spans="1:12">
      <c r="A31" s="19" t="s">
        <v>292</v>
      </c>
      <c r="B31" s="24"/>
      <c r="C31" s="24"/>
      <c r="D31" s="24"/>
      <c r="E31" s="24"/>
      <c r="F31" s="24"/>
      <c r="G31" s="24"/>
      <c r="H31" s="24"/>
      <c r="I31" s="24"/>
      <c r="J31" s="21"/>
      <c r="K31" s="21"/>
      <c r="L31" s="39">
        <f t="shared" si="0"/>
        <v>0</v>
      </c>
    </row>
    <row r="32" s="2" customFormat="1" ht="18" customHeight="1" spans="1:12">
      <c r="A32" s="19" t="s">
        <v>293</v>
      </c>
      <c r="B32" s="24"/>
      <c r="C32" s="24"/>
      <c r="D32" s="24"/>
      <c r="E32" s="24"/>
      <c r="F32" s="24"/>
      <c r="G32" s="24"/>
      <c r="H32" s="24"/>
      <c r="I32" s="24"/>
      <c r="J32" s="21"/>
      <c r="K32" s="21"/>
      <c r="L32" s="39">
        <f t="shared" si="0"/>
        <v>0</v>
      </c>
    </row>
    <row r="33" s="2" customFormat="1" ht="18" customHeight="1" spans="1:12">
      <c r="A33" s="26" t="s">
        <v>294</v>
      </c>
      <c r="B33" s="24"/>
      <c r="C33" s="24"/>
      <c r="D33" s="24"/>
      <c r="E33" s="24"/>
      <c r="F33" s="24"/>
      <c r="G33" s="24"/>
      <c r="H33" s="24"/>
      <c r="I33" s="24"/>
      <c r="J33" s="21"/>
      <c r="K33" s="21"/>
      <c r="L33" s="39">
        <f t="shared" si="0"/>
        <v>0</v>
      </c>
    </row>
    <row r="34" s="2" customFormat="1" ht="18" customHeight="1" spans="1:12">
      <c r="A34" s="27" t="s">
        <v>295</v>
      </c>
      <c r="B34" s="28">
        <f t="shared" ref="B34:K34" si="7">B11+B12</f>
        <v>1500000000</v>
      </c>
      <c r="C34" s="29">
        <f t="shared" si="7"/>
        <v>0</v>
      </c>
      <c r="D34" s="29">
        <f t="shared" si="7"/>
        <v>0</v>
      </c>
      <c r="E34" s="29">
        <f t="shared" si="7"/>
        <v>0</v>
      </c>
      <c r="F34" s="28">
        <f t="shared" si="7"/>
        <v>22232029220.13</v>
      </c>
      <c r="G34" s="29">
        <f t="shared" si="7"/>
        <v>0</v>
      </c>
      <c r="H34" s="29">
        <f t="shared" si="7"/>
        <v>0</v>
      </c>
      <c r="I34" s="29">
        <f t="shared" si="7"/>
        <v>0</v>
      </c>
      <c r="J34" s="28">
        <f t="shared" si="7"/>
        <v>0</v>
      </c>
      <c r="K34" s="28">
        <f t="shared" si="7"/>
        <v>-34574404.06</v>
      </c>
      <c r="L34" s="40">
        <f t="shared" si="0"/>
        <v>23697454816.07</v>
      </c>
    </row>
    <row r="35" s="2" customFormat="1" ht="18" customHeight="1" spans="1:12">
      <c r="A35" s="30" t="s">
        <v>296</v>
      </c>
      <c r="B35" s="31"/>
      <c r="C35" s="31"/>
      <c r="D35" s="31"/>
      <c r="E35" s="31" t="s">
        <v>297</v>
      </c>
      <c r="F35" s="31"/>
      <c r="G35" s="32"/>
      <c r="H35" s="31"/>
      <c r="I35" s="31"/>
      <c r="J35" s="31"/>
      <c r="K35" s="31" t="s">
        <v>391</v>
      </c>
      <c r="L35" s="31"/>
    </row>
    <row r="36" ht="27" customHeight="1" spans="1:12">
      <c r="A36" s="6" t="s">
        <v>385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17.25" customHeight="1" spans="1:12">
      <c r="A37" s="7" t="str">
        <f>A2</f>
        <v> 2025年1-6月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ht="18" customHeight="1" spans="1:12">
      <c r="A38" s="33" t="str">
        <f>A3</f>
        <v>编制单位：平阳县国诚控股有限公司</v>
      </c>
      <c r="B38" s="34"/>
      <c r="C38" s="34"/>
      <c r="D38" s="34"/>
      <c r="E38" s="8"/>
      <c r="F38" s="8"/>
      <c r="G38" s="8"/>
      <c r="I38" s="34"/>
      <c r="J38" s="34"/>
      <c r="K38" s="34"/>
      <c r="L38" s="35" t="s">
        <v>251</v>
      </c>
    </row>
    <row r="39" ht="18" customHeight="1" spans="1:12">
      <c r="A39" s="9" t="s">
        <v>386</v>
      </c>
      <c r="B39" s="10" t="s">
        <v>6</v>
      </c>
      <c r="C39" s="11"/>
      <c r="D39" s="11"/>
      <c r="E39" s="11"/>
      <c r="F39" s="11"/>
      <c r="G39" s="11"/>
      <c r="H39" s="11"/>
      <c r="I39" s="11"/>
      <c r="J39" s="11"/>
      <c r="K39" s="11"/>
      <c r="L39" s="36"/>
    </row>
    <row r="40" ht="18" customHeight="1" spans="1:12">
      <c r="A40" s="12"/>
      <c r="B40" s="13" t="s">
        <v>255</v>
      </c>
      <c r="C40" s="14" t="s">
        <v>256</v>
      </c>
      <c r="D40" s="14"/>
      <c r="E40" s="14"/>
      <c r="F40" s="14" t="s">
        <v>257</v>
      </c>
      <c r="G40" s="14" t="s">
        <v>258</v>
      </c>
      <c r="H40" s="14" t="s">
        <v>259</v>
      </c>
      <c r="I40" s="14" t="s">
        <v>260</v>
      </c>
      <c r="J40" s="14" t="s">
        <v>261</v>
      </c>
      <c r="K40" s="14" t="s">
        <v>262</v>
      </c>
      <c r="L40" s="37" t="s">
        <v>126</v>
      </c>
    </row>
    <row r="41" s="1" customFormat="1" ht="18" customHeight="1" spans="1:12">
      <c r="A41" s="15" t="s">
        <v>386</v>
      </c>
      <c r="B41" s="16"/>
      <c r="C41" s="14" t="s">
        <v>264</v>
      </c>
      <c r="D41" s="14" t="s">
        <v>265</v>
      </c>
      <c r="E41" s="14" t="s">
        <v>266</v>
      </c>
      <c r="F41" s="14"/>
      <c r="G41" s="14"/>
      <c r="H41" s="14"/>
      <c r="I41" s="14"/>
      <c r="J41" s="14"/>
      <c r="K41" s="14"/>
      <c r="L41" s="38"/>
    </row>
    <row r="42" s="2" customFormat="1" ht="18" customHeight="1" spans="1:12">
      <c r="A42" s="17" t="s">
        <v>267</v>
      </c>
      <c r="B42" s="18">
        <f>[7]所有者权益变动表!B7</f>
        <v>1500000000</v>
      </c>
      <c r="C42" s="18">
        <f>[7]所有者权益变动表!C7</f>
        <v>0</v>
      </c>
      <c r="D42" s="18">
        <f>[7]所有者权益变动表!D7</f>
        <v>0</v>
      </c>
      <c r="E42" s="18">
        <f>[7]所有者权益变动表!E7</f>
        <v>0</v>
      </c>
      <c r="F42" s="18">
        <f>[7]所有者权益变动表!F7</f>
        <v>22232029220.13</v>
      </c>
      <c r="G42" s="18">
        <f>[7]所有者权益变动表!G7</f>
        <v>0</v>
      </c>
      <c r="H42" s="18">
        <f>[7]所有者权益变动表!H7</f>
        <v>0</v>
      </c>
      <c r="I42" s="18">
        <f>[7]所有者权益变动表!I7</f>
        <v>0</v>
      </c>
      <c r="J42" s="18">
        <f>[7]所有者权益变动表!J7</f>
        <v>0</v>
      </c>
      <c r="K42" s="18">
        <f>[7]所有者权益变动表!K7</f>
        <v>-11881505.44</v>
      </c>
      <c r="L42" s="18">
        <f>[7]所有者权益变动表!L7</f>
        <v>23720147714.69</v>
      </c>
    </row>
    <row r="43" s="2" customFormat="1" ht="18" customHeight="1" spans="1:12">
      <c r="A43" s="19" t="s">
        <v>387</v>
      </c>
      <c r="B43" s="20">
        <f>[7]所有者权益变动表!B8</f>
        <v>0</v>
      </c>
      <c r="C43" s="21">
        <f>[7]所有者权益变动表!C8</f>
        <v>0</v>
      </c>
      <c r="D43" s="21">
        <f>[7]所有者权益变动表!D8</f>
        <v>0</v>
      </c>
      <c r="E43" s="21">
        <f>[7]所有者权益变动表!E8</f>
        <v>0</v>
      </c>
      <c r="F43" s="20">
        <f>[7]所有者权益变动表!F8</f>
        <v>0</v>
      </c>
      <c r="G43" s="24">
        <f>[7]所有者权益变动表!G8</f>
        <v>0</v>
      </c>
      <c r="H43" s="20">
        <f>[7]所有者权益变动表!H8</f>
        <v>0</v>
      </c>
      <c r="I43" s="24">
        <f>[7]所有者权益变动表!I8</f>
        <v>0</v>
      </c>
      <c r="J43" s="21">
        <f>[7]所有者权益变动表!J8</f>
        <v>0</v>
      </c>
      <c r="K43" s="21">
        <f>[7]所有者权益变动表!K8</f>
        <v>0</v>
      </c>
      <c r="L43" s="39">
        <f>[7]所有者权益变动表!L8</f>
        <v>0</v>
      </c>
    </row>
    <row r="44" s="2" customFormat="1" ht="18" customHeight="1" spans="1:12">
      <c r="A44" s="19" t="s">
        <v>388</v>
      </c>
      <c r="B44" s="20">
        <f>[7]所有者权益变动表!B9</f>
        <v>0</v>
      </c>
      <c r="C44" s="21">
        <f>[7]所有者权益变动表!C9</f>
        <v>0</v>
      </c>
      <c r="D44" s="21">
        <f>[7]所有者权益变动表!D9</f>
        <v>0</v>
      </c>
      <c r="E44" s="21">
        <f>[7]所有者权益变动表!E9</f>
        <v>0</v>
      </c>
      <c r="F44" s="20">
        <f>[7]所有者权益变动表!F9</f>
        <v>0</v>
      </c>
      <c r="G44" s="24">
        <f>[7]所有者权益变动表!G9</f>
        <v>0</v>
      </c>
      <c r="H44" s="20">
        <f>[7]所有者权益变动表!H9</f>
        <v>0</v>
      </c>
      <c r="I44" s="24">
        <f>[7]所有者权益变动表!I9</f>
        <v>0</v>
      </c>
      <c r="J44" s="21">
        <f>[7]所有者权益变动表!J9</f>
        <v>0</v>
      </c>
      <c r="K44" s="21">
        <f>[7]所有者权益变动表!K9</f>
        <v>0</v>
      </c>
      <c r="L44" s="39">
        <f>[7]所有者权益变动表!L9</f>
        <v>0</v>
      </c>
    </row>
    <row r="45" s="2" customFormat="1" ht="18" customHeight="1" spans="1:12">
      <c r="A45" s="19" t="s">
        <v>389</v>
      </c>
      <c r="B45" s="20">
        <f>[7]所有者权益变动表!B10</f>
        <v>0</v>
      </c>
      <c r="C45" s="21">
        <f>[7]所有者权益变动表!C10</f>
        <v>0</v>
      </c>
      <c r="D45" s="21">
        <f>[7]所有者权益变动表!D10</f>
        <v>0</v>
      </c>
      <c r="E45" s="21">
        <f>[7]所有者权益变动表!E10</f>
        <v>0</v>
      </c>
      <c r="F45" s="20">
        <f>[7]所有者权益变动表!F10</f>
        <v>0</v>
      </c>
      <c r="G45" s="24">
        <f>[7]所有者权益变动表!G10</f>
        <v>0</v>
      </c>
      <c r="H45" s="20">
        <f>[7]所有者权益变动表!H10</f>
        <v>0</v>
      </c>
      <c r="I45" s="24">
        <f>[7]所有者权益变动表!I10</f>
        <v>0</v>
      </c>
      <c r="J45" s="21">
        <f>[7]所有者权益变动表!J10</f>
        <v>0</v>
      </c>
      <c r="K45" s="21">
        <f>[7]所有者权益变动表!K10</f>
        <v>0</v>
      </c>
      <c r="L45" s="39">
        <f>[7]所有者权益变动表!L10</f>
        <v>0</v>
      </c>
    </row>
    <row r="46" s="2" customFormat="1" ht="18" customHeight="1" spans="1:12">
      <c r="A46" s="17" t="s">
        <v>272</v>
      </c>
      <c r="B46" s="18">
        <f>[7]所有者权益变动表!B11</f>
        <v>1500000000</v>
      </c>
      <c r="C46" s="22">
        <f>[7]所有者权益变动表!C11</f>
        <v>0</v>
      </c>
      <c r="D46" s="22">
        <f>[7]所有者权益变动表!D11</f>
        <v>0</v>
      </c>
      <c r="E46" s="22">
        <f>[7]所有者权益变动表!E11</f>
        <v>0</v>
      </c>
      <c r="F46" s="18">
        <f>[7]所有者权益变动表!F11</f>
        <v>22232029220.13</v>
      </c>
      <c r="G46" s="23">
        <f>[7]所有者权益变动表!G11</f>
        <v>0</v>
      </c>
      <c r="H46" s="18">
        <f>[7]所有者权益变动表!H11</f>
        <v>0</v>
      </c>
      <c r="I46" s="23">
        <f>[7]所有者权益变动表!I11</f>
        <v>0</v>
      </c>
      <c r="J46" s="18">
        <f>[7]所有者权益变动表!J11</f>
        <v>0</v>
      </c>
      <c r="K46" s="18">
        <f>[7]所有者权益变动表!K11</f>
        <v>-11881505.44</v>
      </c>
      <c r="L46" s="40">
        <f>[7]所有者权益变动表!L11</f>
        <v>23720147714.69</v>
      </c>
    </row>
    <row r="47" s="2" customFormat="1" ht="18" customHeight="1" spans="1:12">
      <c r="A47" s="17" t="s">
        <v>273</v>
      </c>
      <c r="B47" s="18">
        <f>[7]所有者权益变动表!B12</f>
        <v>0</v>
      </c>
      <c r="C47" s="22">
        <f>[7]所有者权益变动表!C12</f>
        <v>0</v>
      </c>
      <c r="D47" s="22">
        <f>[7]所有者权益变动表!D12</f>
        <v>0</v>
      </c>
      <c r="E47" s="22">
        <f>[7]所有者权益变动表!E12</f>
        <v>0</v>
      </c>
      <c r="F47" s="18">
        <f>[7]所有者权益变动表!F12</f>
        <v>0</v>
      </c>
      <c r="G47" s="23">
        <f>[7]所有者权益变动表!G12</f>
        <v>0</v>
      </c>
      <c r="H47" s="23">
        <f>[7]所有者权益变动表!H12</f>
        <v>0</v>
      </c>
      <c r="I47" s="23">
        <f>[7]所有者权益变动表!I12</f>
        <v>0</v>
      </c>
      <c r="J47" s="18">
        <f>[7]所有者权益变动表!J12</f>
        <v>0</v>
      </c>
      <c r="K47" s="18">
        <f>[7]所有者权益变动表!K12</f>
        <v>-3468061.29</v>
      </c>
      <c r="L47" s="40">
        <f>[7]所有者权益变动表!L12</f>
        <v>-3468061.29</v>
      </c>
    </row>
    <row r="48" s="2" customFormat="1" ht="18" customHeight="1" spans="1:12">
      <c r="A48" s="19" t="s">
        <v>274</v>
      </c>
      <c r="B48" s="24">
        <f>[7]所有者权益变动表!B13</f>
        <v>0</v>
      </c>
      <c r="C48" s="24">
        <f>[7]所有者权益变动表!C13</f>
        <v>0</v>
      </c>
      <c r="D48" s="24">
        <f>[7]所有者权益变动表!D13</f>
        <v>0</v>
      </c>
      <c r="E48" s="24">
        <f>[7]所有者权益变动表!E13</f>
        <v>0</v>
      </c>
      <c r="F48" s="24">
        <f>[7]所有者权益变动表!F13</f>
        <v>0</v>
      </c>
      <c r="G48" s="24">
        <f>[7]所有者权益变动表!G13</f>
        <v>0</v>
      </c>
      <c r="H48" s="24">
        <f>[7]所有者权益变动表!H13</f>
        <v>0</v>
      </c>
      <c r="I48" s="24">
        <f>[7]所有者权益变动表!I13</f>
        <v>0</v>
      </c>
      <c r="J48" s="20">
        <f>[7]所有者权益变动表!J13</f>
        <v>0</v>
      </c>
      <c r="K48" s="20">
        <f>[7]所有者权益变动表!K13</f>
        <v>-3468061.29</v>
      </c>
      <c r="L48" s="40">
        <f>[7]所有者权益变动表!L13</f>
        <v>-3468061.29</v>
      </c>
    </row>
    <row r="49" s="2" customFormat="1" ht="18" customHeight="1" spans="1:12">
      <c r="A49" s="19" t="s">
        <v>275</v>
      </c>
      <c r="B49" s="24">
        <f>[7]所有者权益变动表!B14</f>
        <v>0</v>
      </c>
      <c r="C49" s="24">
        <f>[7]所有者权益变动表!C14</f>
        <v>0</v>
      </c>
      <c r="D49" s="24">
        <f>[7]所有者权益变动表!D14</f>
        <v>0</v>
      </c>
      <c r="E49" s="24">
        <f>[7]所有者权益变动表!E14</f>
        <v>0</v>
      </c>
      <c r="F49" s="20">
        <f>[7]所有者权益变动表!F14</f>
        <v>0</v>
      </c>
      <c r="G49" s="24">
        <f>[7]所有者权益变动表!G14</f>
        <v>0</v>
      </c>
      <c r="H49" s="24">
        <f>[7]所有者权益变动表!H14</f>
        <v>0</v>
      </c>
      <c r="I49" s="24">
        <f>[7]所有者权益变动表!I14</f>
        <v>0</v>
      </c>
      <c r="J49" s="21">
        <f>[7]所有者权益变动表!J14</f>
        <v>0</v>
      </c>
      <c r="K49" s="21">
        <f>[7]所有者权益变动表!K14</f>
        <v>0</v>
      </c>
      <c r="L49" s="39">
        <f>[7]所有者权益变动表!L14</f>
        <v>0</v>
      </c>
    </row>
    <row r="50" s="2" customFormat="1" ht="18" customHeight="1" spans="1:12">
      <c r="A50" s="25" t="s">
        <v>276</v>
      </c>
      <c r="B50" s="24">
        <f>[7]所有者权益变动表!B15</f>
        <v>0</v>
      </c>
      <c r="C50" s="24">
        <f>[7]所有者权益变动表!C15</f>
        <v>0</v>
      </c>
      <c r="D50" s="24">
        <f>[7]所有者权益变动表!D15</f>
        <v>0</v>
      </c>
      <c r="E50" s="24">
        <f>[7]所有者权益变动表!E15</f>
        <v>0</v>
      </c>
      <c r="F50" s="24">
        <f>[7]所有者权益变动表!F15</f>
        <v>0</v>
      </c>
      <c r="G50" s="24">
        <f>[7]所有者权益变动表!G15</f>
        <v>0</v>
      </c>
      <c r="H50" s="24">
        <f>[7]所有者权益变动表!H15</f>
        <v>0</v>
      </c>
      <c r="I50" s="24">
        <f>[7]所有者权益变动表!I15</f>
        <v>0</v>
      </c>
      <c r="J50" s="21">
        <f>[7]所有者权益变动表!J15</f>
        <v>0</v>
      </c>
      <c r="K50" s="21">
        <f>[7]所有者权益变动表!K15</f>
        <v>0</v>
      </c>
      <c r="L50" s="39">
        <f>[7]所有者权益变动表!L15</f>
        <v>0</v>
      </c>
    </row>
    <row r="51" s="2" customFormat="1" ht="18" customHeight="1" spans="1:12">
      <c r="A51" s="25" t="s">
        <v>277</v>
      </c>
      <c r="B51" s="24">
        <f>[7]所有者权益变动表!B16</f>
        <v>0</v>
      </c>
      <c r="C51" s="24">
        <f>[7]所有者权益变动表!C16</f>
        <v>0</v>
      </c>
      <c r="D51" s="24">
        <f>[7]所有者权益变动表!D16</f>
        <v>0</v>
      </c>
      <c r="E51" s="24">
        <f>[7]所有者权益变动表!E16</f>
        <v>0</v>
      </c>
      <c r="F51" s="24">
        <f>[7]所有者权益变动表!F16</f>
        <v>0</v>
      </c>
      <c r="G51" s="24">
        <f>[7]所有者权益变动表!G16</f>
        <v>0</v>
      </c>
      <c r="H51" s="24">
        <f>[7]所有者权益变动表!H16</f>
        <v>0</v>
      </c>
      <c r="I51" s="24">
        <f>[7]所有者权益变动表!I16</f>
        <v>0</v>
      </c>
      <c r="J51" s="21">
        <f>[7]所有者权益变动表!J16</f>
        <v>0</v>
      </c>
      <c r="K51" s="21">
        <f>[7]所有者权益变动表!K16</f>
        <v>0</v>
      </c>
      <c r="L51" s="39">
        <f>[7]所有者权益变动表!L16</f>
        <v>0</v>
      </c>
    </row>
    <row r="52" s="2" customFormat="1" ht="18" customHeight="1" spans="1:12">
      <c r="A52" s="25" t="s">
        <v>278</v>
      </c>
      <c r="B52" s="24">
        <f>[7]所有者权益变动表!B17</f>
        <v>0</v>
      </c>
      <c r="C52" s="24">
        <f>[7]所有者权益变动表!C17</f>
        <v>0</v>
      </c>
      <c r="D52" s="24">
        <f>[7]所有者权益变动表!D17</f>
        <v>0</v>
      </c>
      <c r="E52" s="24">
        <f>[7]所有者权益变动表!E17</f>
        <v>0</v>
      </c>
      <c r="F52" s="24">
        <f>[7]所有者权益变动表!F17</f>
        <v>0</v>
      </c>
      <c r="G52" s="24">
        <f>[7]所有者权益变动表!G17</f>
        <v>0</v>
      </c>
      <c r="H52" s="24">
        <f>[7]所有者权益变动表!H17</f>
        <v>0</v>
      </c>
      <c r="I52" s="24">
        <f>[7]所有者权益变动表!I17</f>
        <v>0</v>
      </c>
      <c r="J52" s="21">
        <f>[7]所有者权益变动表!J17</f>
        <v>0</v>
      </c>
      <c r="K52" s="21">
        <f>[7]所有者权益变动表!K17</f>
        <v>0</v>
      </c>
      <c r="L52" s="39">
        <f>[7]所有者权益变动表!L17</f>
        <v>0</v>
      </c>
    </row>
    <row r="53" s="2" customFormat="1" ht="18" customHeight="1" spans="1:12">
      <c r="A53" s="25" t="s">
        <v>279</v>
      </c>
      <c r="B53" s="24">
        <f>[7]所有者权益变动表!B18</f>
        <v>0</v>
      </c>
      <c r="C53" s="24">
        <f>[7]所有者权益变动表!C18</f>
        <v>0</v>
      </c>
      <c r="D53" s="24">
        <f>[7]所有者权益变动表!D18</f>
        <v>0</v>
      </c>
      <c r="E53" s="24">
        <f>[7]所有者权益变动表!E18</f>
        <v>0</v>
      </c>
      <c r="F53" s="20">
        <f>[7]所有者权益变动表!F18</f>
        <v>0</v>
      </c>
      <c r="G53" s="24">
        <f>[7]所有者权益变动表!G18</f>
        <v>0</v>
      </c>
      <c r="H53" s="24">
        <f>[7]所有者权益变动表!H18</f>
        <v>0</v>
      </c>
      <c r="I53" s="24">
        <f>[7]所有者权益变动表!I18</f>
        <v>0</v>
      </c>
      <c r="J53" s="21">
        <f>[7]所有者权益变动表!J18</f>
        <v>0</v>
      </c>
      <c r="K53" s="21">
        <f>[7]所有者权益变动表!K18</f>
        <v>0</v>
      </c>
      <c r="L53" s="39">
        <f>[7]所有者权益变动表!L18</f>
        <v>0</v>
      </c>
    </row>
    <row r="54" s="2" customFormat="1" ht="18" customHeight="1" spans="1:12">
      <c r="A54" s="19" t="s">
        <v>280</v>
      </c>
      <c r="B54" s="24">
        <f>[7]所有者权益变动表!B19</f>
        <v>0</v>
      </c>
      <c r="C54" s="24">
        <f>[7]所有者权益变动表!C19</f>
        <v>0</v>
      </c>
      <c r="D54" s="24">
        <f>[7]所有者权益变动表!D19</f>
        <v>0</v>
      </c>
      <c r="E54" s="24">
        <f>[7]所有者权益变动表!E19</f>
        <v>0</v>
      </c>
      <c r="F54" s="24">
        <f>[7]所有者权益变动表!F19</f>
        <v>0</v>
      </c>
      <c r="G54" s="24">
        <f>[7]所有者权益变动表!G19</f>
        <v>0</v>
      </c>
      <c r="H54" s="24">
        <f>[7]所有者权益变动表!H19</f>
        <v>0</v>
      </c>
      <c r="I54" s="24">
        <f>[7]所有者权益变动表!I19</f>
        <v>0</v>
      </c>
      <c r="J54" s="20">
        <f>[7]所有者权益变动表!J19</f>
        <v>0</v>
      </c>
      <c r="K54" s="20">
        <f>[7]所有者权益变动表!K19</f>
        <v>0</v>
      </c>
      <c r="L54" s="39">
        <f>[7]所有者权益变动表!L19</f>
        <v>0</v>
      </c>
    </row>
    <row r="55" s="2" customFormat="1" ht="18" customHeight="1" spans="1:12">
      <c r="A55" s="19" t="s">
        <v>281</v>
      </c>
      <c r="B55" s="24">
        <f>[7]所有者权益变动表!B20</f>
        <v>0</v>
      </c>
      <c r="C55" s="24">
        <f>[7]所有者权益变动表!C20</f>
        <v>0</v>
      </c>
      <c r="D55" s="24">
        <f>[7]所有者权益变动表!D20</f>
        <v>0</v>
      </c>
      <c r="E55" s="24">
        <f>[7]所有者权益变动表!E20</f>
        <v>0</v>
      </c>
      <c r="F55" s="24">
        <f>[7]所有者权益变动表!F20</f>
        <v>0</v>
      </c>
      <c r="G55" s="24">
        <f>[7]所有者权益变动表!G20</f>
        <v>0</v>
      </c>
      <c r="H55" s="24">
        <f>[7]所有者权益变动表!H20</f>
        <v>0</v>
      </c>
      <c r="I55" s="24">
        <f>[7]所有者权益变动表!I20</f>
        <v>0</v>
      </c>
      <c r="J55" s="20">
        <f>[7]所有者权益变动表!J20</f>
        <v>0</v>
      </c>
      <c r="K55" s="20">
        <f>[7]所有者权益变动表!K20</f>
        <v>0</v>
      </c>
      <c r="L55" s="39">
        <f>[7]所有者权益变动表!L20</f>
        <v>0</v>
      </c>
    </row>
    <row r="56" s="2" customFormat="1" ht="18" customHeight="1" spans="1:12">
      <c r="A56" s="19" t="s">
        <v>282</v>
      </c>
      <c r="B56" s="24">
        <f>[7]所有者权益变动表!B21</f>
        <v>0</v>
      </c>
      <c r="C56" s="24">
        <f>[7]所有者权益变动表!C21</f>
        <v>0</v>
      </c>
      <c r="D56" s="24">
        <f>[7]所有者权益变动表!D21</f>
        <v>0</v>
      </c>
      <c r="E56" s="24">
        <f>[7]所有者权益变动表!E21</f>
        <v>0</v>
      </c>
      <c r="F56" s="24">
        <f>[7]所有者权益变动表!F21</f>
        <v>0</v>
      </c>
      <c r="G56" s="24">
        <f>[7]所有者权益变动表!G21</f>
        <v>0</v>
      </c>
      <c r="H56" s="24">
        <f>[7]所有者权益变动表!H21</f>
        <v>0</v>
      </c>
      <c r="I56" s="24">
        <f>[7]所有者权益变动表!I21</f>
        <v>0</v>
      </c>
      <c r="J56" s="24">
        <f>[7]所有者权益变动表!J21</f>
        <v>0</v>
      </c>
      <c r="K56" s="24">
        <f>[7]所有者权益变动表!K21</f>
        <v>0</v>
      </c>
      <c r="L56" s="41">
        <f>[7]所有者权益变动表!L21</f>
        <v>0</v>
      </c>
    </row>
    <row r="57" s="2" customFormat="1" ht="18" customHeight="1" spans="1:12">
      <c r="A57" s="19" t="s">
        <v>283</v>
      </c>
      <c r="B57" s="24">
        <f>[7]所有者权益变动表!B22</f>
        <v>0</v>
      </c>
      <c r="C57" s="24">
        <f>[7]所有者权益变动表!C22</f>
        <v>0</v>
      </c>
      <c r="D57" s="24">
        <f>[7]所有者权益变动表!D22</f>
        <v>0</v>
      </c>
      <c r="E57" s="24">
        <f>[7]所有者权益变动表!E22</f>
        <v>0</v>
      </c>
      <c r="F57" s="24">
        <f>[7]所有者权益变动表!F22</f>
        <v>0</v>
      </c>
      <c r="G57" s="24">
        <f>[7]所有者权益变动表!G22</f>
        <v>0</v>
      </c>
      <c r="H57" s="24">
        <f>[7]所有者权益变动表!H22</f>
        <v>0</v>
      </c>
      <c r="I57" s="24">
        <f>[7]所有者权益变动表!I22</f>
        <v>0</v>
      </c>
      <c r="J57" s="24">
        <f>[7]所有者权益变动表!J22</f>
        <v>0</v>
      </c>
      <c r="K57" s="24">
        <f>[7]所有者权益变动表!K22</f>
        <v>0</v>
      </c>
      <c r="L57" s="41">
        <f>[7]所有者权益变动表!L22</f>
        <v>0</v>
      </c>
    </row>
    <row r="58" s="2" customFormat="1" ht="18" customHeight="1" spans="1:12">
      <c r="A58" s="19" t="s">
        <v>284</v>
      </c>
      <c r="B58" s="20">
        <f>[7]所有者权益变动表!B23</f>
        <v>0</v>
      </c>
      <c r="C58" s="24">
        <f>[7]所有者权益变动表!C23</f>
        <v>0</v>
      </c>
      <c r="D58" s="24">
        <f>[7]所有者权益变动表!D23</f>
        <v>0</v>
      </c>
      <c r="E58" s="24">
        <f>[7]所有者权益变动表!E23</f>
        <v>0</v>
      </c>
      <c r="F58" s="20">
        <f>[7]所有者权益变动表!F23</f>
        <v>0</v>
      </c>
      <c r="G58" s="24">
        <f>[7]所有者权益变动表!G23</f>
        <v>0</v>
      </c>
      <c r="H58" s="24">
        <f>[7]所有者权益变动表!H23</f>
        <v>0</v>
      </c>
      <c r="I58" s="24">
        <f>[7]所有者权益变动表!I23</f>
        <v>0</v>
      </c>
      <c r="J58" s="24">
        <f>[7]所有者权益变动表!J23</f>
        <v>0</v>
      </c>
      <c r="K58" s="24">
        <f>[7]所有者权益变动表!K23</f>
        <v>0</v>
      </c>
      <c r="L58" s="41">
        <f>[7]所有者权益变动表!L23</f>
        <v>0</v>
      </c>
    </row>
    <row r="59" s="2" customFormat="1" ht="18" customHeight="1" spans="1:12">
      <c r="A59" s="19" t="s">
        <v>285</v>
      </c>
      <c r="B59" s="20">
        <f>[7]所有者权益变动表!B24</f>
        <v>0</v>
      </c>
      <c r="C59" s="24">
        <f>[7]所有者权益变动表!C24</f>
        <v>0</v>
      </c>
      <c r="D59" s="24">
        <f>[7]所有者权益变动表!D24</f>
        <v>0</v>
      </c>
      <c r="E59" s="24">
        <f>[7]所有者权益变动表!E24</f>
        <v>0</v>
      </c>
      <c r="F59" s="20">
        <f>[7]所有者权益变动表!F24</f>
        <v>0</v>
      </c>
      <c r="G59" s="24">
        <f>[7]所有者权益变动表!G24</f>
        <v>0</v>
      </c>
      <c r="H59" s="24">
        <f>[7]所有者权益变动表!H24</f>
        <v>0</v>
      </c>
      <c r="I59" s="24">
        <f>[7]所有者权益变动表!I24</f>
        <v>0</v>
      </c>
      <c r="J59" s="24">
        <f>[7]所有者权益变动表!J24</f>
        <v>0</v>
      </c>
      <c r="K59" s="24">
        <f>[7]所有者权益变动表!K24</f>
        <v>0</v>
      </c>
      <c r="L59" s="41">
        <f>[7]所有者权益变动表!L24</f>
        <v>0</v>
      </c>
    </row>
    <row r="60" s="2" customFormat="1" ht="18" customHeight="1" spans="1:12">
      <c r="A60" s="19" t="s">
        <v>286</v>
      </c>
      <c r="B60" s="24">
        <f>[7]所有者权益变动表!B25</f>
        <v>0</v>
      </c>
      <c r="C60" s="24">
        <f>[7]所有者权益变动表!C25</f>
        <v>0</v>
      </c>
      <c r="D60" s="24">
        <f>[7]所有者权益变动表!D25</f>
        <v>0</v>
      </c>
      <c r="E60" s="24">
        <f>[7]所有者权益变动表!E25</f>
        <v>0</v>
      </c>
      <c r="F60" s="24">
        <f>[7]所有者权益变动表!F25</f>
        <v>0</v>
      </c>
      <c r="G60" s="24">
        <f>[7]所有者权益变动表!G25</f>
        <v>0</v>
      </c>
      <c r="H60" s="24">
        <f>[7]所有者权益变动表!H25</f>
        <v>0</v>
      </c>
      <c r="I60" s="24">
        <f>[7]所有者权益变动表!I25</f>
        <v>0</v>
      </c>
      <c r="J60" s="24">
        <f>[7]所有者权益变动表!J25</f>
        <v>0</v>
      </c>
      <c r="K60" s="24">
        <f>[7]所有者权益变动表!K25</f>
        <v>0</v>
      </c>
      <c r="L60" s="41">
        <f>[7]所有者权益变动表!L25</f>
        <v>0</v>
      </c>
    </row>
    <row r="61" s="2" customFormat="1" ht="18" customHeight="1" spans="1:12">
      <c r="A61" s="19" t="s">
        <v>287</v>
      </c>
      <c r="B61" s="24">
        <f>[7]所有者权益变动表!B26</f>
        <v>0</v>
      </c>
      <c r="C61" s="24">
        <f>[7]所有者权益变动表!C26</f>
        <v>0</v>
      </c>
      <c r="D61" s="24">
        <f>[7]所有者权益变动表!D26</f>
        <v>0</v>
      </c>
      <c r="E61" s="24">
        <f>[7]所有者权益变动表!E26</f>
        <v>0</v>
      </c>
      <c r="F61" s="24">
        <f>[7]所有者权益变动表!F26</f>
        <v>0</v>
      </c>
      <c r="G61" s="24">
        <f>[7]所有者权益变动表!G26</f>
        <v>0</v>
      </c>
      <c r="H61" s="24">
        <f>[7]所有者权益变动表!H26</f>
        <v>0</v>
      </c>
      <c r="I61" s="24">
        <f>[7]所有者权益变动表!I26</f>
        <v>0</v>
      </c>
      <c r="J61" s="24">
        <f>[7]所有者权益变动表!J26</f>
        <v>0</v>
      </c>
      <c r="K61" s="24">
        <f>[7]所有者权益变动表!K26</f>
        <v>0</v>
      </c>
      <c r="L61" s="41">
        <f>[7]所有者权益变动表!L26</f>
        <v>0</v>
      </c>
    </row>
    <row r="62" s="2" customFormat="1" ht="18" customHeight="1" spans="1:12">
      <c r="A62" s="19" t="s">
        <v>288</v>
      </c>
      <c r="B62" s="24">
        <f>[7]所有者权益变动表!B27</f>
        <v>0</v>
      </c>
      <c r="C62" s="24">
        <f>[7]所有者权益变动表!C27</f>
        <v>0</v>
      </c>
      <c r="D62" s="24">
        <f>[7]所有者权益变动表!D27</f>
        <v>0</v>
      </c>
      <c r="E62" s="24">
        <f>[7]所有者权益变动表!E27</f>
        <v>0</v>
      </c>
      <c r="F62" s="24">
        <f>[7]所有者权益变动表!F27</f>
        <v>0</v>
      </c>
      <c r="G62" s="24">
        <f>[7]所有者权益变动表!G27</f>
        <v>0</v>
      </c>
      <c r="H62" s="24">
        <f>[7]所有者权益变动表!H27</f>
        <v>0</v>
      </c>
      <c r="I62" s="24">
        <f>[7]所有者权益变动表!I27</f>
        <v>0</v>
      </c>
      <c r="J62" s="24">
        <f>[7]所有者权益变动表!J27</f>
        <v>0</v>
      </c>
      <c r="K62" s="24">
        <f>[7]所有者权益变动表!K27</f>
        <v>0</v>
      </c>
      <c r="L62" s="41">
        <f>[7]所有者权益变动表!L27</f>
        <v>0</v>
      </c>
    </row>
    <row r="63" s="2" customFormat="1" ht="18" customHeight="1" spans="1:12">
      <c r="A63" s="19" t="s">
        <v>289</v>
      </c>
      <c r="B63" s="24">
        <f>[7]所有者权益变动表!B28</f>
        <v>0</v>
      </c>
      <c r="C63" s="24">
        <f>[7]所有者权益变动表!C28</f>
        <v>0</v>
      </c>
      <c r="D63" s="24">
        <f>[7]所有者权益变动表!D28</f>
        <v>0</v>
      </c>
      <c r="E63" s="24">
        <f>[7]所有者权益变动表!E28</f>
        <v>0</v>
      </c>
      <c r="F63" s="24">
        <f>[7]所有者权益变动表!F28</f>
        <v>0</v>
      </c>
      <c r="G63" s="24">
        <f>[7]所有者权益变动表!G28</f>
        <v>0</v>
      </c>
      <c r="H63" s="24">
        <f>[7]所有者权益变动表!H28</f>
        <v>0</v>
      </c>
      <c r="I63" s="24">
        <f>[7]所有者权益变动表!I28</f>
        <v>0</v>
      </c>
      <c r="J63" s="24">
        <f>[7]所有者权益变动表!J28</f>
        <v>0</v>
      </c>
      <c r="K63" s="24">
        <f>[7]所有者权益变动表!K28</f>
        <v>0</v>
      </c>
      <c r="L63" s="41">
        <f>[7]所有者权益变动表!L28</f>
        <v>0</v>
      </c>
    </row>
    <row r="64" s="2" customFormat="1" ht="18" customHeight="1" spans="1:12">
      <c r="A64" s="19" t="s">
        <v>290</v>
      </c>
      <c r="B64" s="24">
        <f>[7]所有者权益变动表!B29</f>
        <v>0</v>
      </c>
      <c r="C64" s="24">
        <f>[7]所有者权益变动表!C29</f>
        <v>0</v>
      </c>
      <c r="D64" s="24">
        <f>[7]所有者权益变动表!D29</f>
        <v>0</v>
      </c>
      <c r="E64" s="24">
        <f>[7]所有者权益变动表!E29</f>
        <v>0</v>
      </c>
      <c r="F64" s="24">
        <f>[7]所有者权益变动表!F29</f>
        <v>0</v>
      </c>
      <c r="G64" s="24">
        <f>[7]所有者权益变动表!G29</f>
        <v>0</v>
      </c>
      <c r="H64" s="24">
        <f>[7]所有者权益变动表!H29</f>
        <v>0</v>
      </c>
      <c r="I64" s="24">
        <f>[7]所有者权益变动表!I29</f>
        <v>0</v>
      </c>
      <c r="J64" s="24">
        <f>[7]所有者权益变动表!J29</f>
        <v>0</v>
      </c>
      <c r="K64" s="24">
        <f>[7]所有者权益变动表!K29</f>
        <v>0</v>
      </c>
      <c r="L64" s="41">
        <f>[7]所有者权益变动表!L29</f>
        <v>0</v>
      </c>
    </row>
    <row r="65" s="2" customFormat="1" ht="18" customHeight="1" spans="1:12">
      <c r="A65" s="26" t="s">
        <v>291</v>
      </c>
      <c r="B65" s="24">
        <f>[7]所有者权益变动表!B30</f>
        <v>0</v>
      </c>
      <c r="C65" s="24">
        <f>[7]所有者权益变动表!C30</f>
        <v>0</v>
      </c>
      <c r="D65" s="24">
        <f>[7]所有者权益变动表!D30</f>
        <v>0</v>
      </c>
      <c r="E65" s="24">
        <f>[7]所有者权益变动表!E30</f>
        <v>0</v>
      </c>
      <c r="F65" s="24">
        <f>[7]所有者权益变动表!F30</f>
        <v>0</v>
      </c>
      <c r="G65" s="24">
        <f>[7]所有者权益变动表!G30</f>
        <v>0</v>
      </c>
      <c r="H65" s="24">
        <f>[7]所有者权益变动表!H30</f>
        <v>0</v>
      </c>
      <c r="I65" s="24">
        <f>[7]所有者权益变动表!I30</f>
        <v>0</v>
      </c>
      <c r="J65" s="24">
        <f>[7]所有者权益变动表!J30</f>
        <v>0</v>
      </c>
      <c r="K65" s="24">
        <f>[7]所有者权益变动表!K30</f>
        <v>0</v>
      </c>
      <c r="L65" s="41">
        <f>[7]所有者权益变动表!L30</f>
        <v>0</v>
      </c>
    </row>
    <row r="66" s="2" customFormat="1" ht="18" customHeight="1" spans="1:12">
      <c r="A66" s="19" t="s">
        <v>292</v>
      </c>
      <c r="B66" s="24">
        <f>[7]所有者权益变动表!B31</f>
        <v>0</v>
      </c>
      <c r="C66" s="24">
        <f>[7]所有者权益变动表!C31</f>
        <v>0</v>
      </c>
      <c r="D66" s="24">
        <f>[7]所有者权益变动表!D31</f>
        <v>0</v>
      </c>
      <c r="E66" s="24">
        <f>[7]所有者权益变动表!E31</f>
        <v>0</v>
      </c>
      <c r="F66" s="24">
        <f>[7]所有者权益变动表!F31</f>
        <v>0</v>
      </c>
      <c r="G66" s="24">
        <f>[7]所有者权益变动表!G31</f>
        <v>0</v>
      </c>
      <c r="H66" s="24">
        <f>[7]所有者权益变动表!H31</f>
        <v>0</v>
      </c>
      <c r="I66" s="24">
        <f>[7]所有者权益变动表!I31</f>
        <v>0</v>
      </c>
      <c r="J66" s="24">
        <f>[7]所有者权益变动表!J31</f>
        <v>0</v>
      </c>
      <c r="K66" s="24">
        <f>[7]所有者权益变动表!K31</f>
        <v>0</v>
      </c>
      <c r="L66" s="41">
        <f>[7]所有者权益变动表!L31</f>
        <v>0</v>
      </c>
    </row>
    <row r="67" s="2" customFormat="1" ht="18" customHeight="1" spans="1:12">
      <c r="A67" s="19" t="s">
        <v>293</v>
      </c>
      <c r="B67" s="24">
        <f>[7]所有者权益变动表!B32</f>
        <v>0</v>
      </c>
      <c r="C67" s="24">
        <f>[7]所有者权益变动表!C32</f>
        <v>0</v>
      </c>
      <c r="D67" s="24">
        <f>[7]所有者权益变动表!D32</f>
        <v>0</v>
      </c>
      <c r="E67" s="24">
        <f>[7]所有者权益变动表!E32</f>
        <v>0</v>
      </c>
      <c r="F67" s="24">
        <f>[7]所有者权益变动表!F32</f>
        <v>0</v>
      </c>
      <c r="G67" s="24">
        <f>[7]所有者权益变动表!G32</f>
        <v>0</v>
      </c>
      <c r="H67" s="24">
        <f>[7]所有者权益变动表!H32</f>
        <v>0</v>
      </c>
      <c r="I67" s="24">
        <f>[7]所有者权益变动表!I32</f>
        <v>0</v>
      </c>
      <c r="J67" s="24">
        <f>[7]所有者权益变动表!J32</f>
        <v>0</v>
      </c>
      <c r="K67" s="24">
        <f>[7]所有者权益变动表!K32</f>
        <v>0</v>
      </c>
      <c r="L67" s="41">
        <f>[7]所有者权益变动表!L32</f>
        <v>0</v>
      </c>
    </row>
    <row r="68" s="2" customFormat="1" ht="18" customHeight="1" spans="1:12">
      <c r="A68" s="26" t="s">
        <v>294</v>
      </c>
      <c r="B68" s="24">
        <f>[7]所有者权益变动表!B33</f>
        <v>0</v>
      </c>
      <c r="C68" s="24">
        <f>[7]所有者权益变动表!C33</f>
        <v>0</v>
      </c>
      <c r="D68" s="24">
        <f>[7]所有者权益变动表!D33</f>
        <v>0</v>
      </c>
      <c r="E68" s="24">
        <f>[7]所有者权益变动表!E33</f>
        <v>0</v>
      </c>
      <c r="F68" s="24">
        <f>[7]所有者权益变动表!F33</f>
        <v>0</v>
      </c>
      <c r="G68" s="24">
        <f>[7]所有者权益变动表!G33</f>
        <v>0</v>
      </c>
      <c r="H68" s="24">
        <f>[7]所有者权益变动表!H33</f>
        <v>0</v>
      </c>
      <c r="I68" s="24">
        <f>[7]所有者权益变动表!I33</f>
        <v>0</v>
      </c>
      <c r="J68" s="20">
        <f>[7]所有者权益变动表!J33</f>
        <v>0</v>
      </c>
      <c r="K68" s="20">
        <f>[7]所有者权益变动表!K33</f>
        <v>0</v>
      </c>
      <c r="L68" s="39">
        <f>[7]所有者权益变动表!L33</f>
        <v>0</v>
      </c>
    </row>
    <row r="69" s="2" customFormat="1" ht="18" customHeight="1" spans="1:12">
      <c r="A69" s="27" t="s">
        <v>295</v>
      </c>
      <c r="B69" s="28">
        <f>[7]所有者权益变动表!B34</f>
        <v>1500000000</v>
      </c>
      <c r="C69" s="29">
        <f>[7]所有者权益变动表!C34</f>
        <v>0</v>
      </c>
      <c r="D69" s="29">
        <f>[7]所有者权益变动表!D34</f>
        <v>0</v>
      </c>
      <c r="E69" s="29">
        <f>[7]所有者权益变动表!E34</f>
        <v>0</v>
      </c>
      <c r="F69" s="28">
        <f>[7]所有者权益变动表!F34</f>
        <v>22232029220.13</v>
      </c>
      <c r="G69" s="42">
        <f>[7]所有者权益变动表!G34</f>
        <v>0</v>
      </c>
      <c r="H69" s="28">
        <f>[7]所有者权益变动表!H34</f>
        <v>0</v>
      </c>
      <c r="I69" s="42">
        <f>[7]所有者权益变动表!I34</f>
        <v>0</v>
      </c>
      <c r="J69" s="28">
        <f>[7]所有者权益变动表!J34</f>
        <v>0</v>
      </c>
      <c r="K69" s="28">
        <f>[7]所有者权益变动表!K34</f>
        <v>-15349566.73</v>
      </c>
      <c r="L69" s="40">
        <f>[7]所有者权益变动表!L34</f>
        <v>23716679653.4</v>
      </c>
    </row>
    <row r="70" s="2" customFormat="1" ht="18" customHeight="1" spans="1:12">
      <c r="A70" s="30" t="s">
        <v>296</v>
      </c>
      <c r="B70" s="31"/>
      <c r="C70" s="31"/>
      <c r="D70" s="31"/>
      <c r="E70" s="31" t="s">
        <v>297</v>
      </c>
      <c r="F70" s="31"/>
      <c r="G70" s="32"/>
      <c r="H70" s="31"/>
      <c r="I70" s="31"/>
      <c r="J70" s="31"/>
      <c r="K70" s="31" t="s">
        <v>391</v>
      </c>
      <c r="L70" s="31"/>
    </row>
    <row r="71" ht="18" customHeight="1" spans="1:1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</row>
    <row r="72" ht="15.75" spans="1:12">
      <c r="A72" s="4" t="s">
        <v>392</v>
      </c>
      <c r="B72" s="5">
        <f>B69-B75</f>
        <v>0</v>
      </c>
      <c r="F72" s="5">
        <f>F69-F75</f>
        <v>0</v>
      </c>
      <c r="J72" s="5">
        <f>J69-J75</f>
        <v>0</v>
      </c>
      <c r="K72" s="5">
        <f>K69-K75</f>
        <v>5029964.54</v>
      </c>
      <c r="L72" s="5">
        <f>L69-L75</f>
        <v>5029964.54000092</v>
      </c>
    </row>
    <row r="73" ht="25.75" customHeight="1" spans="1:12">
      <c r="A73" s="44" t="s">
        <v>393</v>
      </c>
      <c r="B73" s="5">
        <f>B34-资产负债表!G37</f>
        <v>0</v>
      </c>
      <c r="F73" s="5">
        <f>F34-资产负债表!G41</f>
        <v>0</v>
      </c>
      <c r="J73" s="5">
        <f>J34-资产负债表!G45</f>
        <v>0</v>
      </c>
      <c r="K73" s="5">
        <f>K34-资产负债表!G46</f>
        <v>0</v>
      </c>
      <c r="L73" s="5">
        <f>L34-资产负债表!G47</f>
        <v>0</v>
      </c>
    </row>
    <row r="74" ht="22.3" customHeight="1"/>
    <row r="75" s="3" customFormat="1" ht="22.3" hidden="1" customHeight="1" spans="2:13">
      <c r="B75" s="45">
        <f>资产负债表!H37</f>
        <v>1500000000</v>
      </c>
      <c r="C75" s="45"/>
      <c r="D75" s="45"/>
      <c r="E75" s="45"/>
      <c r="F75" s="45">
        <f>资产负债表!H41</f>
        <v>22232029220.13</v>
      </c>
      <c r="G75" s="45"/>
      <c r="H75" s="45"/>
      <c r="I75" s="45"/>
      <c r="J75" s="45">
        <f>资产负债表!H45</f>
        <v>0</v>
      </c>
      <c r="K75" s="45">
        <f>资产负债表!H46</f>
        <v>-20379531.27</v>
      </c>
      <c r="L75" s="45">
        <f>资产负债表!H47</f>
        <v>23711649688.86</v>
      </c>
      <c r="M75" s="46"/>
    </row>
    <row r="76" ht="22.3" customHeight="1"/>
  </sheetData>
  <mergeCells count="29">
    <mergeCell ref="A1:L1"/>
    <mergeCell ref="A2:L2"/>
    <mergeCell ref="B4:L4"/>
    <mergeCell ref="C5:E5"/>
    <mergeCell ref="E35:F35"/>
    <mergeCell ref="A36:L36"/>
    <mergeCell ref="A37:L37"/>
    <mergeCell ref="B39:L39"/>
    <mergeCell ref="C40:E40"/>
    <mergeCell ref="E70:F70"/>
    <mergeCell ref="A71:L71"/>
    <mergeCell ref="A4:A6"/>
    <mergeCell ref="A39:A41"/>
    <mergeCell ref="B5:B6"/>
    <mergeCell ref="B40:B41"/>
    <mergeCell ref="F5:F6"/>
    <mergeCell ref="F40:F41"/>
    <mergeCell ref="G5:G6"/>
    <mergeCell ref="G40:G41"/>
    <mergeCell ref="H5:H6"/>
    <mergeCell ref="H40:H41"/>
    <mergeCell ref="I5:I6"/>
    <mergeCell ref="I40:I41"/>
    <mergeCell ref="J5:J6"/>
    <mergeCell ref="J40:J41"/>
    <mergeCell ref="K5:K6"/>
    <mergeCell ref="K40:K41"/>
    <mergeCell ref="L5:L6"/>
    <mergeCell ref="L40:L41"/>
  </mergeCells>
  <printOptions horizontalCentered="1"/>
  <pageMargins left="0.708661417322835" right="0.708661417322835" top="1.02362204724409" bottom="0.748031496062992" header="0.31496062992126" footer="0.31496062992126"/>
  <pageSetup paperSize="9" scale="64" fitToHeight="0" orientation="landscape"/>
  <headerFooter alignWithMargins="0" differentFirst="1">
    <oddFooter>&amp;C&amp;"Arial Narrow,常规"&amp;P</oddFooter>
    <evenFooter>&amp;C8-2</evenFooter>
    <firstFooter>&amp;C&amp;"Arial Narrow,常规" 12</firstFooter>
  </headerFooter>
  <rowBreaks count="1" manualBreakCount="1">
    <brk id="3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合并资产负债表</vt:lpstr>
      <vt:lpstr>合并利润表 </vt:lpstr>
      <vt:lpstr>合并现金流量表 </vt:lpstr>
      <vt:lpstr>合并所有者权益变动表 </vt:lpstr>
      <vt:lpstr>资产负债表</vt:lpstr>
      <vt:lpstr>利润表</vt:lpstr>
      <vt:lpstr>现金流量表</vt:lpstr>
      <vt:lpstr>所有者权益变动表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财务报表-合并报表</dc:title>
  <dc:creator>qzdeng</dc:creator>
  <cp:lastModifiedBy>Sydnie欣</cp:lastModifiedBy>
  <dcterms:created xsi:type="dcterms:W3CDTF">2002-02-09T08:08:00Z</dcterms:created>
  <cp:lastPrinted>2024-10-30T03:20:00Z</cp:lastPrinted>
  <dcterms:modified xsi:type="dcterms:W3CDTF">2025-08-29T02:05:24Z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44CD63BE84B546899FD2DBBEEB01064A_12</vt:lpwstr>
  </property>
  <property fmtid="{D5CDD505-2E9C-101B-9397-08002B2CF9AE}" pid="3" name="KSOProductBuildVer">
    <vt:lpwstr>2052-12.1.0.22529</vt:lpwstr>
  </property>
</Properties>
</file>